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Assumptions" sheetId="2" state="visible" r:id="rId2"/>
    <sheet name="Ratios" sheetId="3" state="visible" r:id="rId3"/>
    <sheet name="Valuation" sheetId="4" state="visible" r:id="rId4"/>
    <sheet name="CapBudget" sheetId="5" state="visible" r:id="rId5"/>
    <sheet name="Charts" sheetId="6" state="visible" r:id="rId6"/>
  </sheets>
  <definedNames>
    <definedName name="Sales_FY23">'Inputs'!$B$5</definedName>
    <definedName name="Sales_FY24">'Inputs'!$C$5</definedName>
    <definedName name="Sales_FY25">'Inputs'!$D$5</definedName>
    <definedName name="Sales_FY26">'Inputs'!$E$5</definedName>
    <definedName name="COGS_FY23">'Inputs'!$B$6</definedName>
    <definedName name="COGS_FY24">'Inputs'!$C$6</definedName>
    <definedName name="COGS_FY25">'Inputs'!$D$6</definedName>
    <definedName name="COGS_FY26">'Inputs'!$E$6</definedName>
    <definedName name="GrossProfit_FY23">'Inputs'!$B$7</definedName>
    <definedName name="GrossProfit_FY24">'Inputs'!$C$7</definedName>
    <definedName name="GrossProfit_FY25">'Inputs'!$D$7</definedName>
    <definedName name="GrossProfit_FY26">'Inputs'!$E$7</definedName>
    <definedName name="Depreciation_FY23">'Inputs'!$B$9</definedName>
    <definedName name="Depreciation_FY24">'Inputs'!$C$9</definedName>
    <definedName name="Depreciation_FY25">'Inputs'!$D$9</definedName>
    <definedName name="Depreciation_FY26">'Inputs'!$E$9</definedName>
    <definedName name="EBIT_FY23">'Inputs'!$B$10</definedName>
    <definedName name="EBIT_FY24">'Inputs'!$C$10</definedName>
    <definedName name="EBIT_FY25">'Inputs'!$D$10</definedName>
    <definedName name="EBIT_FY26">'Inputs'!$E$10</definedName>
    <definedName name="Interest_FY23">'Inputs'!$B$11</definedName>
    <definedName name="Interest_FY24">'Inputs'!$C$11</definedName>
    <definedName name="Interest_FY25">'Inputs'!$D$11</definedName>
    <definedName name="Interest_FY26">'Inputs'!$E$11</definedName>
    <definedName name="EBT_FY23">'Inputs'!$B$12</definedName>
    <definedName name="EBT_FY24">'Inputs'!$C$12</definedName>
    <definedName name="EBT_FY25">'Inputs'!$D$12</definedName>
    <definedName name="EBT_FY26">'Inputs'!$E$12</definedName>
    <definedName name="Taxes_FY23">'Inputs'!$B$13</definedName>
    <definedName name="Taxes_FY24">'Inputs'!$C$13</definedName>
    <definedName name="Taxes_FY25">'Inputs'!$D$13</definedName>
    <definedName name="Taxes_FY26">'Inputs'!$E$13</definedName>
    <definedName name="NetIncome_FY23">'Inputs'!$B$14</definedName>
    <definedName name="NetIncome_FY24">'Inputs'!$C$14</definedName>
    <definedName name="NetIncome_FY25">'Inputs'!$D$14</definedName>
    <definedName name="NetIncome_FY26">'Inputs'!$E$14</definedName>
    <definedName name="DilutedShares_FY23">'Inputs'!$B$16</definedName>
    <definedName name="DilutedShares_FY24">'Inputs'!$C$16</definedName>
    <definedName name="DilutedShares_FY25">'Inputs'!$D$16</definedName>
    <definedName name="DilutedShares_FY26">'Inputs'!$E$16</definedName>
    <definedName name="EPS_FY23">'Inputs'!$B$17</definedName>
    <definedName name="EPS_FY24">'Inputs'!$C$17</definedName>
    <definedName name="EPS_FY25">'Inputs'!$D$17</definedName>
    <definedName name="EPS_FY26">'Inputs'!$E$17</definedName>
    <definedName name="Cash_FY23">'Inputs'!$B$20</definedName>
    <definedName name="Cash_FY24">'Inputs'!$C$20</definedName>
    <definedName name="Cash_FY25">'Inputs'!$D$20</definedName>
    <definedName name="Cash_FY26">'Inputs'!$E$20</definedName>
    <definedName name="AR_FY23">'Inputs'!$B$22</definedName>
    <definedName name="AR_FY24">'Inputs'!$C$22</definedName>
    <definedName name="AR_FY25">'Inputs'!$D$22</definedName>
    <definedName name="AR_FY26">'Inputs'!$E$22</definedName>
    <definedName name="Inventory_FY23">'Inputs'!$B$23</definedName>
    <definedName name="Inventory_FY24">'Inputs'!$C$23</definedName>
    <definedName name="Inventory_FY25">'Inputs'!$D$23</definedName>
    <definedName name="Inventory_FY26">'Inputs'!$E$23</definedName>
    <definedName name="CurrentAssets_FY23">'Inputs'!$B$25</definedName>
    <definedName name="CurrentAssets_FY24">'Inputs'!$C$25</definedName>
    <definedName name="CurrentAssets_FY25">'Inputs'!$D$25</definedName>
    <definedName name="CurrentAssets_FY26">'Inputs'!$E$25</definedName>
    <definedName name="NetFixedAssets_FY23">'Inputs'!$B$26</definedName>
    <definedName name="NetFixedAssets_FY24">'Inputs'!$C$26</definedName>
    <definedName name="NetFixedAssets_FY25">'Inputs'!$D$26</definedName>
    <definedName name="NetFixedAssets_FY26">'Inputs'!$E$26</definedName>
    <definedName name="TotalAssets_FY23">'Inputs'!$B$27</definedName>
    <definedName name="TotalAssets_FY24">'Inputs'!$C$27</definedName>
    <definedName name="TotalAssets_FY25">'Inputs'!$D$27</definedName>
    <definedName name="TotalAssets_FY26">'Inputs'!$E$27</definedName>
    <definedName name="AP_FY23">'Inputs'!$B$28</definedName>
    <definedName name="AP_FY24">'Inputs'!$C$28</definedName>
    <definedName name="AP_FY25">'Inputs'!$D$28</definedName>
    <definedName name="AP_FY26">'Inputs'!$E$28</definedName>
    <definedName name="CurrentLiab_FY23">'Inputs'!$B$30</definedName>
    <definedName name="CurrentLiab_FY24">'Inputs'!$C$30</definedName>
    <definedName name="CurrentLiab_FY25">'Inputs'!$D$30</definedName>
    <definedName name="CurrentLiab_FY26">'Inputs'!$E$30</definedName>
    <definedName name="LongTermDebt_FY23">'Inputs'!$B$31</definedName>
    <definedName name="LongTermDebt_FY24">'Inputs'!$C$31</definedName>
    <definedName name="LongTermDebt_FY25">'Inputs'!$D$31</definedName>
    <definedName name="LongTermDebt_FY26">'Inputs'!$E$31</definedName>
    <definedName name="TotalLiab_FY23">'Inputs'!$B$32</definedName>
    <definedName name="TotalLiab_FY24">'Inputs'!$C$32</definedName>
    <definedName name="TotalLiab_FY25">'Inputs'!$D$32</definedName>
    <definedName name="TotalLiab_FY26">'Inputs'!$E$32</definedName>
    <definedName name="CommonEquity_FY23">'Inputs'!$B$34</definedName>
    <definedName name="CommonEquity_FY24">'Inputs'!$C$34</definedName>
    <definedName name="CommonEquity_FY25">'Inputs'!$D$34</definedName>
    <definedName name="CommonEquity_FY26">'Inputs'!$E$34</definedName>
    <definedName name="TotalEquity_FY23">'Inputs'!$B$35</definedName>
    <definedName name="TotalEquity_FY24">'Inputs'!$C$35</definedName>
    <definedName name="TotalEquity_FY25">'Inputs'!$D$35</definedName>
    <definedName name="TotalEquity_FY26">'Inputs'!$E$35</definedName>
    <definedName name="CFO_FY23">'Inputs'!$B$38</definedName>
    <definedName name="CFO_FY24">'Inputs'!$C$38</definedName>
    <definedName name="CFO_FY25">'Inputs'!$D$38</definedName>
    <definedName name="CFO_FY26">'Inputs'!$E$38</definedName>
    <definedName name="CFI_FY23">'Inputs'!$B$39</definedName>
    <definedName name="CFI_FY24">'Inputs'!$C$39</definedName>
    <definedName name="CFI_FY25">'Inputs'!$D$39</definedName>
    <definedName name="CFI_FY26">'Inputs'!$E$39</definedName>
    <definedName name="CFF_FY23">'Inputs'!$B$40</definedName>
    <definedName name="CFF_FY24">'Inputs'!$C$40</definedName>
    <definedName name="CFF_FY25">'Inputs'!$D$40</definedName>
    <definedName name="CFF_FY26">'Inputs'!$E$40</definedName>
    <definedName name="NetChangeCash_FY23">'Inputs'!$B$41</definedName>
    <definedName name="NetChangeCash_FY24">'Inputs'!$C$41</definedName>
    <definedName name="NetChangeCash_FY25">'Inputs'!$D$41</definedName>
    <definedName name="NetChangeCash_FY26">'Inputs'!$E$41</definedName>
    <definedName name="LeasePayments_FY23">'Inputs'!$B$42</definedName>
    <definedName name="LeasePayments_FY24">'Inputs'!$C$42</definedName>
    <definedName name="LeasePayments_FY25">'Inputs'!$D$42</definedName>
    <definedName name="LeasePayments_FY26">'Inputs'!$E$42</definedName>
    <definedName name="CapEx_FY23">'Inputs'!$B$43</definedName>
    <definedName name="CapEx_FY24">'Inputs'!$C$43</definedName>
    <definedName name="CapEx_FY25">'Inputs'!$D$43</definedName>
    <definedName name="CapEx_FY26">'Inputs'!$E$43</definedName>
    <definedName name="Price">'Assumptions'!$B$4</definedName>
    <definedName name="SharesOut">'Assumptions'!$B$5</definedName>
    <definedName name="BookValuePS">'Assumptions'!$B$6</definedName>
    <definedName name="DPS">'Assumptions'!$B$7</definedName>
    <definedName name="GrowthG">'Assumptions'!$B$8</definedName>
    <definedName name="Rf">'Assumptions'!$B$9</definedName>
    <definedName name="MarketReturn">'Assumptions'!$B$10</definedName>
    <definedName name="Beta">'Assumptions'!$B$11</definedName>
    <definedName name="RequiredReturnK">'Assumptions'!$B$12</definedName>
    <definedName name="TaxRate">'Assumptions'!$B$13</definedName>
    <definedName name="Flotation">'Assumptions'!$B$14</definedName>
    <definedName name="WeightDebt">'Assumptions'!$B$15</definedName>
    <definedName name="WeightPref">'Assumptions'!$B$16</definedName>
    <definedName name="WeightEquity">'Assumptions'!$B$17</definedName>
    <definedName name="CostDebtPretax">'Assumptions'!$B$18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3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2" fontId="0" fillId="5" borderId="0" applyAlignment="1" pivotButton="0" quotePrefix="0" xfId="0">
      <alignment horizontal="center"/>
    </xf>
    <xf numFmtId="3" fontId="0" fillId="5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2" fontId="0" fillId="6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0" fontId="0" fillId="6" borderId="0" applyAlignment="1" pivotButton="0" quotePrefix="0" xfId="0">
      <alignment horizontal="center"/>
    </xf>
    <xf numFmtId="10" fontId="0" fillId="5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0" fontId="0" fillId="0" borderId="1" pivotButton="0" quotePrefix="0" xfId="0"/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3" fontId="0" fillId="4" borderId="1" pivotButton="0" quotePrefix="0" xfId="0"/>
    <xf numFmtId="3" fontId="3" fillId="0" borderId="1" pivotButton="0" quotePrefix="0" xfId="0"/>
    <xf numFmtId="10" fontId="3" fillId="0" borderId="1" pivotButton="0" quotePrefix="0" xfId="0"/>
    <xf numFmtId="166" fontId="3" fillId="0" borderId="1" pivotButton="0" quotePrefix="0" xfId="0"/>
    <xf numFmtId="164" fontId="3" fillId="0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Key ratio trends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'Ratios'!$C$3:$F$3</f>
            </numRef>
          </cat>
          <val>
            <numRef>
              <f>'Ratios'!$C$23:$F$23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'Ratios'!$C$3:$F$3</f>
            </numRef>
          </cat>
          <val>
            <numRef>
              <f>'Ratios'!$C$21:$F$21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'Ratios'!$C$3:$F$3</f>
            </numRef>
          </cat>
          <val>
            <numRef>
              <f>'Ratios'!$C$4:$F$4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Intrinsic vs Market value/share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'Charts'!$A$23:$A$24</f>
            </numRef>
          </cat>
          <val>
            <numRef>
              <f>'Charts'!$B$23:$B$24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NPV profile (NPV vs discount rate)</a:t>
            </a:r>
          </a:p>
        </rich>
      </tx>
    </title>
    <plotArea>
      <lineChart>
        <grouping val="standard"/>
        <ser>
          <idx val="0"/>
          <order val="0"/>
          <tx>
            <strRef>
              <f>'CapBudget'!B22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'CapBudget'!$A$23:$A$29</f>
            </numRef>
          </cat>
          <val>
            <numRef>
              <f>'CapBudget'!$B$23:$B$29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WALMART INC. -- Raw Inputs</t>
        </is>
      </c>
    </row>
    <row r="3">
      <c r="A3" s="2" t="inlineStr">
        <is>
          <t>Line item ($, except per-share)</t>
        </is>
      </c>
      <c r="B3" s="3" t="inlineStr">
        <is>
          <t>FY23</t>
        </is>
      </c>
      <c r="C3" s="3" t="inlineStr">
        <is>
          <t>FY24</t>
        </is>
      </c>
      <c r="D3" s="3" t="inlineStr">
        <is>
          <t>FY25</t>
        </is>
      </c>
      <c r="E3" s="3" t="inlineStr">
        <is>
          <t>FY26</t>
        </is>
      </c>
    </row>
    <row r="4">
      <c r="A4" s="4" t="inlineStr">
        <is>
          <t>Income Statement</t>
        </is>
      </c>
    </row>
    <row r="5">
      <c r="A5" t="inlineStr">
        <is>
          <t>Revenue (Sales)</t>
        </is>
      </c>
      <c r="B5" s="5" t="n">
        <v>605881000000</v>
      </c>
      <c r="C5" s="5" t="n">
        <v>642637000000</v>
      </c>
      <c r="D5" s="5" t="n">
        <v>674538000000</v>
      </c>
      <c r="E5" s="5" t="n">
        <v>706413000000</v>
      </c>
    </row>
    <row r="6">
      <c r="A6" t="inlineStr">
        <is>
          <t>Cost of Goods Sold</t>
        </is>
      </c>
      <c r="B6" s="5" t="n">
        <v>463721000000</v>
      </c>
      <c r="C6" s="5" t="n">
        <v>490142000000</v>
      </c>
      <c r="D6" s="5" t="n">
        <v>511753000000</v>
      </c>
      <c r="E6" s="5" t="n">
        <v>535395000000</v>
      </c>
    </row>
    <row r="7">
      <c r="A7" t="inlineStr">
        <is>
          <t>Gross Profit</t>
        </is>
      </c>
      <c r="B7" s="5" t="n">
        <v>142160000000</v>
      </c>
      <c r="C7" s="5" t="n">
        <v>152495000000</v>
      </c>
      <c r="D7" s="5" t="n">
        <v>162785000000</v>
      </c>
      <c r="E7" s="5" t="n">
        <v>171018000000</v>
      </c>
    </row>
    <row r="8">
      <c r="A8" t="inlineStr">
        <is>
          <t>Operating / Admin Expenses</t>
        </is>
      </c>
    </row>
    <row r="9">
      <c r="A9" t="inlineStr">
        <is>
          <t>Depreciation &amp; Amortization</t>
        </is>
      </c>
      <c r="B9" s="5" t="n">
        <v>10945000000</v>
      </c>
      <c r="C9" s="5" t="n">
        <v>11853000000</v>
      </c>
      <c r="D9" s="5" t="n">
        <v>12973000000</v>
      </c>
      <c r="E9" s="5" t="n">
        <v>14203000000</v>
      </c>
    </row>
    <row r="10">
      <c r="A10" t="inlineStr">
        <is>
          <t>EBIT (Operating Income)</t>
        </is>
      </c>
      <c r="B10" s="5" t="n">
        <v>20428000000</v>
      </c>
      <c r="C10" s="5" t="n">
        <v>27012000000</v>
      </c>
      <c r="D10" s="5" t="n">
        <v>29348000000</v>
      </c>
      <c r="E10" s="5" t="n">
        <v>29825000000</v>
      </c>
    </row>
    <row r="11">
      <c r="A11" t="inlineStr">
        <is>
          <t>Interest Expense</t>
        </is>
      </c>
      <c r="B11" s="5" t="n">
        <v>1787000000</v>
      </c>
      <c r="C11" s="5" t="n">
        <v>2259000000</v>
      </c>
      <c r="D11" s="5" t="n">
        <v>2249000000</v>
      </c>
      <c r="E11" s="5" t="n">
        <v>2318000000</v>
      </c>
    </row>
    <row r="12">
      <c r="A12" t="inlineStr">
        <is>
          <t>Earnings Before Tax</t>
        </is>
      </c>
      <c r="B12" s="5" t="n">
        <v>17016000000</v>
      </c>
      <c r="C12" s="5" t="n">
        <v>21848000000</v>
      </c>
      <c r="D12" s="5" t="n">
        <v>26309000000</v>
      </c>
      <c r="E12" s="5" t="n">
        <v>29469000000</v>
      </c>
    </row>
    <row r="13">
      <c r="A13" t="inlineStr">
        <is>
          <t>Income Taxes</t>
        </is>
      </c>
      <c r="B13" s="5" t="n">
        <v>5724000000</v>
      </c>
      <c r="C13" s="5" t="n">
        <v>5578000000</v>
      </c>
      <c r="D13" s="5" t="n">
        <v>6152000000</v>
      </c>
      <c r="E13" s="5" t="n">
        <v>7199000000</v>
      </c>
    </row>
    <row r="14">
      <c r="A14" t="inlineStr">
        <is>
          <t>Net Income</t>
        </is>
      </c>
      <c r="B14" s="5" t="n">
        <v>11680000000</v>
      </c>
      <c r="C14" s="5" t="n">
        <v>15511000000</v>
      </c>
      <c r="D14" s="5" t="n">
        <v>19436000000</v>
      </c>
      <c r="E14" s="5" t="n">
        <v>21893000000</v>
      </c>
    </row>
    <row r="15">
      <c r="A15" t="inlineStr">
        <is>
          <t>Preferred Dividends</t>
        </is>
      </c>
    </row>
    <row r="16">
      <c r="A16" t="inlineStr">
        <is>
          <t>Diluted Shares Outstanding</t>
        </is>
      </c>
      <c r="B16" s="5" t="n">
        <v>2734000000</v>
      </c>
      <c r="C16" s="5" t="n">
        <v>8108000000</v>
      </c>
      <c r="D16" s="5" t="n">
        <v>8081000000</v>
      </c>
      <c r="E16" s="5" t="n">
        <v>8022000000</v>
      </c>
    </row>
    <row r="17">
      <c r="A17" t="inlineStr">
        <is>
          <t>Earnings per Share (diluted)</t>
        </is>
      </c>
      <c r="B17" s="5" t="n">
        <v>4.27</v>
      </c>
      <c r="C17" s="5" t="n">
        <v>1.91</v>
      </c>
      <c r="D17" s="5" t="n">
        <v>2.41</v>
      </c>
      <c r="E17" s="5" t="n">
        <v>2.73</v>
      </c>
    </row>
    <row r="19">
      <c r="A19" s="4" t="inlineStr">
        <is>
          <t>Balance Sheet</t>
        </is>
      </c>
    </row>
    <row r="20">
      <c r="A20" t="inlineStr">
        <is>
          <t>Cash &amp; Equivalents</t>
        </is>
      </c>
      <c r="B20" s="5" t="n">
        <v>8625000000</v>
      </c>
      <c r="C20" s="5" t="n">
        <v>9867000000</v>
      </c>
      <c r="D20" s="5" t="n">
        <v>9037000000</v>
      </c>
      <c r="E20" s="5" t="n">
        <v>10727000000</v>
      </c>
    </row>
    <row r="21">
      <c r="A21" t="inlineStr">
        <is>
          <t>Marketable Securities</t>
        </is>
      </c>
    </row>
    <row r="22">
      <c r="A22" t="inlineStr">
        <is>
          <t>Accounts Receivable</t>
        </is>
      </c>
      <c r="B22" s="5" t="n">
        <v>7933000000</v>
      </c>
      <c r="C22" s="5" t="n">
        <v>8796000000</v>
      </c>
      <c r="D22" s="5" t="n">
        <v>9975000000</v>
      </c>
      <c r="E22" s="5" t="n">
        <v>11172000000</v>
      </c>
    </row>
    <row r="23">
      <c r="A23" t="inlineStr">
        <is>
          <t>Inventory</t>
        </is>
      </c>
      <c r="B23" s="5" t="n">
        <v>56576000000</v>
      </c>
      <c r="C23" s="5" t="n">
        <v>54892000000</v>
      </c>
      <c r="D23" s="5" t="n">
        <v>56435000000</v>
      </c>
      <c r="E23" s="5" t="n">
        <v>58851000000</v>
      </c>
    </row>
    <row r="24">
      <c r="A24" t="inlineStr">
        <is>
          <t>Other Current Assets</t>
        </is>
      </c>
    </row>
    <row r="25">
      <c r="A25" t="inlineStr">
        <is>
          <t>Total Current Assets</t>
        </is>
      </c>
      <c r="B25" s="5" t="n">
        <v>75655000000</v>
      </c>
      <c r="C25" s="5" t="n">
        <v>76877000000</v>
      </c>
      <c r="D25" s="5" t="n">
        <v>79458000000</v>
      </c>
      <c r="E25" s="5" t="n">
        <v>84874000000</v>
      </c>
    </row>
    <row r="26">
      <c r="A26" t="inlineStr">
        <is>
          <t>Net Fixed Assets</t>
        </is>
      </c>
      <c r="B26" s="5" t="n">
        <v>100760000000</v>
      </c>
      <c r="C26" s="5" t="n">
        <v>110810000000</v>
      </c>
      <c r="D26" s="5" t="n">
        <v>119993000000</v>
      </c>
      <c r="E26" s="5" t="n">
        <v>136083000000</v>
      </c>
    </row>
    <row r="27">
      <c r="A27" t="inlineStr">
        <is>
          <t>Total Assets</t>
        </is>
      </c>
      <c r="B27" s="5" t="n">
        <v>243197000000</v>
      </c>
      <c r="C27" s="5" t="n">
        <v>252399000000</v>
      </c>
      <c r="D27" s="5" t="n">
        <v>260823000000</v>
      </c>
      <c r="E27" s="5" t="n">
        <v>284668000000</v>
      </c>
    </row>
    <row r="28">
      <c r="A28" t="inlineStr">
        <is>
          <t>Accounts Payable</t>
        </is>
      </c>
      <c r="B28" s="5" t="n">
        <v>53742000000</v>
      </c>
      <c r="C28" s="5" t="n">
        <v>56812000000</v>
      </c>
      <c r="D28" s="5" t="n">
        <v>58666000000</v>
      </c>
      <c r="E28" s="5" t="n">
        <v>63061000000</v>
      </c>
    </row>
    <row r="29">
      <c r="A29" t="inlineStr">
        <is>
          <t>Other Current Liabilities</t>
        </is>
      </c>
    </row>
    <row r="30">
      <c r="A30" t="inlineStr">
        <is>
          <t>Total Current Liabilities</t>
        </is>
      </c>
      <c r="B30" s="5" t="n">
        <v>92198000000</v>
      </c>
      <c r="C30" s="5" t="n">
        <v>92415000000</v>
      </c>
      <c r="D30" s="5" t="n">
        <v>96584000000</v>
      </c>
      <c r="E30" s="5" t="n">
        <v>107469000000</v>
      </c>
    </row>
    <row r="31">
      <c r="A31" t="inlineStr">
        <is>
          <t>Long-Term Debt</t>
        </is>
      </c>
      <c r="B31" s="5" t="n">
        <v>34649000000</v>
      </c>
      <c r="C31" s="5" t="n">
        <v>36132000000</v>
      </c>
      <c r="D31" s="5" t="n">
        <v>33401000000</v>
      </c>
      <c r="E31" s="5" t="n">
        <v>34624000000</v>
      </c>
    </row>
    <row r="32">
      <c r="A32" t="inlineStr">
        <is>
          <t>Total Liabilities</t>
        </is>
      </c>
      <c r="B32" s="5" t="n">
        <v>159443000000</v>
      </c>
      <c r="C32" s="5" t="n">
        <v>162050000000</v>
      </c>
      <c r="D32" s="5" t="n">
        <v>163402000000</v>
      </c>
      <c r="E32" s="5" t="n">
        <v>178781000000</v>
      </c>
    </row>
    <row r="33">
      <c r="A33" t="inlineStr">
        <is>
          <t>Preferred Equity</t>
        </is>
      </c>
    </row>
    <row r="34">
      <c r="A34" t="inlineStr">
        <is>
          <t>Common Equity</t>
        </is>
      </c>
      <c r="B34" s="5" t="n">
        <v>76693000000</v>
      </c>
      <c r="C34" s="5" t="n">
        <v>83861000000</v>
      </c>
      <c r="D34" s="5" t="n">
        <v>91013000000</v>
      </c>
      <c r="E34" s="5" t="n">
        <v>99617000000</v>
      </c>
    </row>
    <row r="35">
      <c r="A35" t="inlineStr">
        <is>
          <t>Total Equity</t>
        </is>
      </c>
      <c r="B35" s="5" t="n">
        <v>83754000000</v>
      </c>
      <c r="C35" s="5" t="n">
        <v>90349000000</v>
      </c>
      <c r="D35" s="5" t="n">
        <v>97421000000</v>
      </c>
      <c r="E35" s="5" t="n">
        <v>105887000000</v>
      </c>
    </row>
    <row r="37">
      <c r="A37" s="4" t="inlineStr">
        <is>
          <t>Cash Flow</t>
        </is>
      </c>
    </row>
    <row r="38">
      <c r="A38" t="inlineStr">
        <is>
          <t>Cash Flow from Operations</t>
        </is>
      </c>
      <c r="B38" s="5" t="n">
        <v>28841000000</v>
      </c>
      <c r="C38" s="5" t="n">
        <v>35726000000</v>
      </c>
      <c r="D38" s="5" t="n">
        <v>36443000000</v>
      </c>
      <c r="E38" s="5" t="n">
        <v>41565000000</v>
      </c>
    </row>
    <row r="39">
      <c r="A39" t="inlineStr">
        <is>
          <t>Cash Flow from Investing</t>
        </is>
      </c>
      <c r="B39" s="5" t="n">
        <v>-17722000000</v>
      </c>
      <c r="C39" s="5" t="n">
        <v>-21287000000</v>
      </c>
      <c r="D39" s="5" t="n">
        <v>-21379000000</v>
      </c>
      <c r="E39" s="5" t="n">
        <v>-26350000000</v>
      </c>
    </row>
    <row r="40">
      <c r="A40" t="inlineStr">
        <is>
          <t>Cash Flow from Financing</t>
        </is>
      </c>
      <c r="B40" s="5" t="n">
        <v>-17039000000</v>
      </c>
      <c r="C40" s="5" t="n">
        <v>-13414000000</v>
      </c>
      <c r="D40" s="5" t="n">
        <v>-14822000000</v>
      </c>
      <c r="E40" s="5" t="n">
        <v>-13553000000</v>
      </c>
    </row>
    <row r="41">
      <c r="A41" t="inlineStr">
        <is>
          <t>Net Change in Cash</t>
        </is>
      </c>
      <c r="B41" s="5" t="n">
        <v>-5993000000</v>
      </c>
      <c r="C41" s="5" t="n">
        <v>1094000000</v>
      </c>
      <c r="D41" s="5" t="n">
        <v>-399000000</v>
      </c>
      <c r="E41" s="5" t="n">
        <v>1785000000</v>
      </c>
    </row>
    <row r="42">
      <c r="A42" t="inlineStr">
        <is>
          <t>Lease Payments</t>
        </is>
      </c>
      <c r="B42" s="5" t="n">
        <v>2280000000</v>
      </c>
      <c r="C42" s="5" t="n">
        <v>2273000000</v>
      </c>
      <c r="D42" s="5" t="n">
        <v>2390000000</v>
      </c>
      <c r="E42" s="5" t="n">
        <v>2315000000</v>
      </c>
    </row>
    <row r="43">
      <c r="A43" t="inlineStr">
        <is>
          <t>Capital Expenditures</t>
        </is>
      </c>
      <c r="B43" s="5" t="n">
        <v>16857000000</v>
      </c>
      <c r="C43" s="5" t="n">
        <v>20606000000</v>
      </c>
      <c r="D43" s="5" t="n">
        <v>23783000000</v>
      </c>
      <c r="E43" s="5" t="n">
        <v>26642000000</v>
      </c>
    </row>
    <row r="44">
      <c r="A44" t="inlineStr">
        <is>
          <t>Change in Net Working Capital</t>
        </is>
      </c>
    </row>
    <row r="47">
      <c r="A47" s="6" t="inlineStr">
        <is>
          <t>Sources:</t>
        </is>
      </c>
      <c r="B47" s="7" t="inlineStr">
        <is>
          <t>SEC 10-K FY2023</t>
        </is>
      </c>
      <c r="C47" s="7" t="inlineStr">
        <is>
          <t>SEC 10-K FY2024</t>
        </is>
      </c>
      <c r="D47" s="7" t="inlineStr">
        <is>
          <t>SEC 10-K FY2025</t>
        </is>
      </c>
      <c r="E47" s="7" t="inlineStr">
        <is>
          <t>SEC 10-K FY2026</t>
        </is>
      </c>
    </row>
    <row r="49">
      <c r="A49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4">
    <mergeCell ref="A49:E49"/>
    <mergeCell ref="A4:E4"/>
    <mergeCell ref="A37:E37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</cols>
  <sheetData>
    <row r="1">
      <c r="A1" s="1" t="inlineStr">
        <is>
          <t>Market &amp; Policy Assumptions (editable)</t>
        </is>
      </c>
    </row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Price Per Share</t>
        </is>
      </c>
      <c r="B4" s="8" t="n"/>
      <c r="C4" s="7" t="inlineStr">
        <is>
          <t>Current market price per share</t>
        </is>
      </c>
    </row>
    <row r="5">
      <c r="A5" t="inlineStr">
        <is>
          <t>Shares Outstanding</t>
        </is>
      </c>
      <c r="B5" s="8" t="n"/>
      <c r="C5" s="7" t="inlineStr">
        <is>
          <t>Shares outstanding</t>
        </is>
      </c>
    </row>
    <row r="6">
      <c r="A6" t="inlineStr">
        <is>
          <t>Book Value Per Share</t>
        </is>
      </c>
      <c r="B6" s="8" t="n"/>
      <c r="C6" s="7" t="inlineStr">
        <is>
          <t>Book value per share</t>
        </is>
      </c>
    </row>
    <row r="7">
      <c r="A7" t="inlineStr">
        <is>
          <t>Dividend Per Share</t>
        </is>
      </c>
      <c r="B7" s="8" t="n"/>
      <c r="C7" s="7" t="inlineStr">
        <is>
          <t>Annual dividend per share (D0)</t>
        </is>
      </c>
    </row>
    <row r="8">
      <c r="A8" t="inlineStr">
        <is>
          <t>Dividend Growth G</t>
        </is>
      </c>
      <c r="B8" s="8" t="n"/>
      <c r="C8" s="7" t="inlineStr">
        <is>
          <t>g -- dividend growth (decimal, &lt; required return)</t>
        </is>
      </c>
    </row>
    <row r="9">
      <c r="A9" t="inlineStr">
        <is>
          <t>Risk Free Rate</t>
        </is>
      </c>
      <c r="B9" s="8" t="n"/>
      <c r="C9" s="7" t="inlineStr">
        <is>
          <t>Rf -- 10Y Treasury or user input (decimal)</t>
        </is>
      </c>
    </row>
    <row r="10">
      <c r="A10" t="inlineStr">
        <is>
          <t>Market Return</t>
        </is>
      </c>
      <c r="B10" s="8" t="n"/>
      <c r="C10" s="7" t="inlineStr">
        <is>
          <t>E(Rm) -- expected market return (decimal)</t>
        </is>
      </c>
    </row>
    <row r="11">
      <c r="A11" t="inlineStr">
        <is>
          <t>Beta</t>
        </is>
      </c>
      <c r="B11" s="8" t="n"/>
      <c r="C11" s="7" t="inlineStr">
        <is>
          <t>Equity beta</t>
        </is>
      </c>
    </row>
    <row r="12">
      <c r="A12" t="inlineStr">
        <is>
          <t>Required Return K</t>
        </is>
      </c>
      <c r="B12" s="8" t="n"/>
      <c r="C12" s="7" t="inlineStr">
        <is>
          <t>k -- required return / WACC override (decimal)</t>
        </is>
      </c>
    </row>
    <row r="13">
      <c r="A13" t="inlineStr">
        <is>
          <t>Tax Rate</t>
        </is>
      </c>
      <c r="B13" s="8" t="n"/>
      <c r="C13" s="7" t="inlineStr">
        <is>
          <t>T -- marginal tax rate (decimal)</t>
        </is>
      </c>
    </row>
    <row r="14">
      <c r="A14" t="inlineStr">
        <is>
          <t>Flotation Cost</t>
        </is>
      </c>
      <c r="B14" s="8" t="n">
        <v>0</v>
      </c>
      <c r="C14" s="7" t="inlineStr">
        <is>
          <t>f -- flotation cost (decimal)</t>
        </is>
      </c>
    </row>
    <row r="15">
      <c r="A15" t="inlineStr">
        <is>
          <t>Weight Debt</t>
        </is>
      </c>
      <c r="B15" s="8" t="n"/>
      <c r="C15" s="7" t="inlineStr">
        <is>
          <t>Capital-structure weight of debt (optional)</t>
        </is>
      </c>
    </row>
    <row r="16">
      <c r="A16" t="inlineStr">
        <is>
          <t>Weight Preferred</t>
        </is>
      </c>
      <c r="B16" s="8" t="n"/>
      <c r="C16" s="7" t="inlineStr">
        <is>
          <t>Weight of preferred (optional)</t>
        </is>
      </c>
    </row>
    <row r="17">
      <c r="A17" t="inlineStr">
        <is>
          <t>Weight Equity</t>
        </is>
      </c>
      <c r="B17" s="8" t="n"/>
      <c r="C17" s="7" t="inlineStr">
        <is>
          <t>Weight of equity (optional)</t>
        </is>
      </c>
    </row>
    <row r="18">
      <c r="A18" t="inlineStr">
        <is>
          <t>Cost Of Debt Pretax</t>
        </is>
      </c>
      <c r="B18" s="8" t="n"/>
      <c r="C18" s="7" t="inlineStr">
        <is>
          <t>Pre-tax cost of debt / YTM (decimal)</t>
        </is>
      </c>
    </row>
    <row r="20">
      <c r="A20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46" customWidth="1" min="7" max="7"/>
    <col width="60" customWidth="1" min="8" max="8"/>
  </cols>
  <sheetData>
    <row r="1">
      <c r="A1" s="1" t="inlineStr">
        <is>
          <t>Ratio Analysis -- live formulas (sec 4.1-4.5)</t>
        </is>
      </c>
    </row>
    <row r="3">
      <c r="A3" s="2" t="inlineStr">
        <is>
          <t>Metric</t>
        </is>
      </c>
      <c r="B3" s="2" t="inlineStr">
        <is>
          <t>Category</t>
        </is>
      </c>
      <c r="C3" s="3" t="inlineStr">
        <is>
          <t>FY23</t>
        </is>
      </c>
      <c r="D3" s="3" t="inlineStr">
        <is>
          <t>FY24</t>
        </is>
      </c>
      <c r="E3" s="3" t="inlineStr">
        <is>
          <t>FY25</t>
        </is>
      </c>
      <c r="F3" s="3" t="inlineStr">
        <is>
          <t>FY26</t>
        </is>
      </c>
      <c r="G3" s="2" t="inlineStr">
        <is>
          <t>Excel formula (latest period)</t>
        </is>
      </c>
      <c r="H3" s="2" t="inlineStr">
        <is>
          <t>Interpretation</t>
        </is>
      </c>
    </row>
    <row r="4">
      <c r="A4" t="inlineStr">
        <is>
          <t>Current Ratio</t>
        </is>
      </c>
      <c r="B4" s="7" t="inlineStr">
        <is>
          <t>Liquidity</t>
        </is>
      </c>
      <c r="C4" s="9">
        <f>CurrentAssets_FY23/CurrentLiab_FY23</f>
        <v/>
      </c>
      <c r="D4" s="9">
        <f>CurrentAssets_FY24/CurrentLiab_FY24</f>
        <v/>
      </c>
      <c r="E4" s="9">
        <f>CurrentAssets_FY25/CurrentLiab_FY25</f>
        <v/>
      </c>
      <c r="F4" s="9">
        <f>CurrentAssets_FY26/CurrentLiab_FY26</f>
        <v/>
      </c>
      <c r="G4" s="7" t="inlineStr">
        <is>
          <t>CurrentAssets_FY26/CurrentLiab_FY26</t>
        </is>
      </c>
      <c r="H4" s="7" t="inlineStr">
        <is>
          <t>Current assets per $1 of current liabilities; &gt;1 covers near-term bills.</t>
        </is>
      </c>
    </row>
    <row r="5">
      <c r="A5" t="inlineStr">
        <is>
          <t>Quick (Acid-Test) Ratio</t>
        </is>
      </c>
      <c r="B5" s="7" t="inlineStr">
        <is>
          <t>Liquidity</t>
        </is>
      </c>
      <c r="C5" s="9">
        <f>(CurrentAssets_FY23-Inventory_FY23)/CurrentLiab_FY23</f>
        <v/>
      </c>
      <c r="D5" s="9">
        <f>(CurrentAssets_FY24-Inventory_FY24)/CurrentLiab_FY24</f>
        <v/>
      </c>
      <c r="E5" s="9">
        <f>(CurrentAssets_FY25-Inventory_FY25)/CurrentLiab_FY25</f>
        <v/>
      </c>
      <c r="F5" s="9">
        <f>(CurrentAssets_FY26-Inventory_FY26)/CurrentLiab_FY26</f>
        <v/>
      </c>
      <c r="G5" s="7" t="inlineStr">
        <is>
          <t>(CurrentAssets_FY26-Inventory_FY26)/CurrentLiab_FY26</t>
        </is>
      </c>
      <c r="H5" s="7" t="inlineStr">
        <is>
          <t>Liquidity excluding inventory; &gt;1 is conservative coverage.</t>
        </is>
      </c>
    </row>
    <row r="6">
      <c r="A6" t="inlineStr">
        <is>
          <t>Net Working Capital</t>
        </is>
      </c>
      <c r="B6" s="7" t="inlineStr">
        <is>
          <t>Liquidity</t>
        </is>
      </c>
      <c r="C6" s="10">
        <f>CurrentAssets_FY23-CurrentLiab_FY23</f>
        <v/>
      </c>
      <c r="D6" s="10">
        <f>CurrentAssets_FY24-CurrentLiab_FY24</f>
        <v/>
      </c>
      <c r="E6" s="10">
        <f>CurrentAssets_FY25-CurrentLiab_FY25</f>
        <v/>
      </c>
      <c r="F6" s="10">
        <f>CurrentAssets_FY26-CurrentLiab_FY26</f>
        <v/>
      </c>
      <c r="G6" s="7" t="inlineStr">
        <is>
          <t>CurrentAssets_FY26-CurrentLiab_FY26</t>
        </is>
      </c>
      <c r="H6" s="7" t="inlineStr">
        <is>
          <t>Current assets minus current liabilities; the operating cushion.</t>
        </is>
      </c>
    </row>
    <row r="7">
      <c r="A7" t="inlineStr">
        <is>
          <t>NWC-to-Total-Assets</t>
        </is>
      </c>
      <c r="B7" s="7" t="inlineStr">
        <is>
          <t>Liquidity</t>
        </is>
      </c>
      <c r="C7" s="11">
        <f>(CurrentAssets_FY23-CurrentLiab_FY23)/TotalAssets_FY23</f>
        <v/>
      </c>
      <c r="D7" s="11">
        <f>(CurrentAssets_FY24-CurrentLiab_FY24)/TotalAssets_FY24</f>
        <v/>
      </c>
      <c r="E7" s="11">
        <f>(CurrentAssets_FY25-CurrentLiab_FY25)/TotalAssets_FY25</f>
        <v/>
      </c>
      <c r="F7" s="11">
        <f>(CurrentAssets_FY26-CurrentLiab_FY26)/TotalAssets_FY26</f>
        <v/>
      </c>
      <c r="G7" s="7" t="inlineStr">
        <is>
          <t>(CurrentAssets_FY26-CurrentLiab_FY26)/TotalAssets_FY26</t>
        </is>
      </c>
      <c r="H7" s="7" t="inlineStr">
        <is>
          <t>Share of assets funded as working-capital cushion.</t>
        </is>
      </c>
    </row>
    <row r="8">
      <c r="A8" t="inlineStr">
        <is>
          <t>Inventory Turnover</t>
        </is>
      </c>
      <c r="B8" s="7" t="inlineStr">
        <is>
          <t>Activity</t>
        </is>
      </c>
      <c r="C8" s="12">
        <f>COGS_FY23/Inventory_FY23</f>
        <v/>
      </c>
      <c r="D8" s="12">
        <f>COGS_FY24/AVERAGE(Inventory_FY24,Inventory_FY23)</f>
        <v/>
      </c>
      <c r="E8" s="12">
        <f>COGS_FY25/AVERAGE(Inventory_FY25,Inventory_FY24)</f>
        <v/>
      </c>
      <c r="F8" s="12">
        <f>COGS_FY26/AVERAGE(Inventory_FY26,Inventory_FY25)</f>
        <v/>
      </c>
      <c r="G8" s="7" t="inlineStr">
        <is>
          <t>COGS_FY26/AVERAGE(Inventory_FY26,Inventory_FY25)</t>
        </is>
      </c>
      <c r="H8" s="7" t="inlineStr">
        <is>
          <t>Times inventory sold per year; higher = leaner stock.</t>
        </is>
      </c>
    </row>
    <row r="9">
      <c r="A9" t="inlineStr">
        <is>
          <t>Days Sales in Inventory</t>
        </is>
      </c>
      <c r="B9" s="7" t="inlineStr">
        <is>
          <t>Activity</t>
        </is>
      </c>
      <c r="C9" s="13">
        <f>365/(COGS_FY23/Inventory_FY23)</f>
        <v/>
      </c>
      <c r="D9" s="13">
        <f>365/(COGS_FY24/AVERAGE(Inventory_FY24,Inventory_FY23))</f>
        <v/>
      </c>
      <c r="E9" s="13">
        <f>365/(COGS_FY25/AVERAGE(Inventory_FY25,Inventory_FY24))</f>
        <v/>
      </c>
      <c r="F9" s="13">
        <f>365/(COGS_FY26/AVERAGE(Inventory_FY26,Inventory_FY25))</f>
        <v/>
      </c>
      <c r="G9" s="7" t="inlineStr">
        <is>
          <t>365/(COGS_FY26/AVERAGE(Inventory_FY26,Inventory_FY25))</t>
        </is>
      </c>
      <c r="H9" s="7" t="inlineStr">
        <is>
          <t>Days of inventory on hand; lower = faster conversion to cash.</t>
        </is>
      </c>
    </row>
    <row r="10">
      <c r="A10" t="inlineStr">
        <is>
          <t>Collection Period (DSO)</t>
        </is>
      </c>
      <c r="B10" s="7" t="inlineStr">
        <is>
          <t>Activity</t>
        </is>
      </c>
      <c r="C10" s="13">
        <f>AR_FY23/(Sales_FY23/365)</f>
        <v/>
      </c>
      <c r="D10" s="13">
        <f>AR_FY24/(Sales_FY24/365)</f>
        <v/>
      </c>
      <c r="E10" s="13">
        <f>AR_FY25/(Sales_FY25/365)</f>
        <v/>
      </c>
      <c r="F10" s="13">
        <f>AR_FY26/(Sales_FY26/365)</f>
        <v/>
      </c>
      <c r="G10" s="7" t="inlineStr">
        <is>
          <t>AR_FY26/(Sales_FY26/365)</t>
        </is>
      </c>
      <c r="H10" s="7" t="inlineStr">
        <is>
          <t>Average days to collect receivables; lower is better.</t>
        </is>
      </c>
    </row>
    <row r="11">
      <c r="A11" t="inlineStr">
        <is>
          <t>Fixed Asset Turnover</t>
        </is>
      </c>
      <c r="B11" s="7" t="inlineStr">
        <is>
          <t>Activity</t>
        </is>
      </c>
      <c r="C11" s="14">
        <f>Sales_FY23/NetFixedAssets_FY23</f>
        <v/>
      </c>
      <c r="D11" s="14">
        <f>Sales_FY24/NetFixedAssets_FY24</f>
        <v/>
      </c>
      <c r="E11" s="14">
        <f>Sales_FY25/NetFixedAssets_FY25</f>
        <v/>
      </c>
      <c r="F11" s="14">
        <f>Sales_FY26/NetFixedAssets_FY26</f>
        <v/>
      </c>
      <c r="G11" s="7" t="inlineStr">
        <is>
          <t>Sales_FY26/NetFixedAssets_FY26</t>
        </is>
      </c>
      <c r="H11" s="7" t="inlineStr">
        <is>
          <t>Sales generated per $1 of net fixed assets.</t>
        </is>
      </c>
    </row>
    <row r="12">
      <c r="A12" t="inlineStr">
        <is>
          <t>Total Asset Turnover</t>
        </is>
      </c>
      <c r="B12" s="7" t="inlineStr">
        <is>
          <t>Activity</t>
        </is>
      </c>
      <c r="C12" s="14">
        <f>Sales_FY23/TotalAssets_FY23</f>
        <v/>
      </c>
      <c r="D12" s="14">
        <f>Sales_FY24/TotalAssets_FY24</f>
        <v/>
      </c>
      <c r="E12" s="14">
        <f>Sales_FY25/TotalAssets_FY25</f>
        <v/>
      </c>
      <c r="F12" s="14">
        <f>Sales_FY26/TotalAssets_FY26</f>
        <v/>
      </c>
      <c r="G12" s="7" t="inlineStr">
        <is>
          <t>Sales_FY26/TotalAssets_FY26</t>
        </is>
      </c>
      <c r="H12" s="7" t="inlineStr">
        <is>
          <t>Sales generated per $1 of total assets.</t>
        </is>
      </c>
    </row>
    <row r="13">
      <c r="A13" t="inlineStr">
        <is>
          <t>Debt Ratio</t>
        </is>
      </c>
      <c r="B13" s="7" t="inlineStr">
        <is>
          <t>Leverage</t>
        </is>
      </c>
      <c r="C13" s="15">
        <f>TotalLiab_FY23/TotalAssets_FY23</f>
        <v/>
      </c>
      <c r="D13" s="15">
        <f>TotalLiab_FY24/TotalAssets_FY24</f>
        <v/>
      </c>
      <c r="E13" s="15">
        <f>TotalLiab_FY25/TotalAssets_FY25</f>
        <v/>
      </c>
      <c r="F13" s="15">
        <f>TotalLiab_FY26/TotalAssets_FY26</f>
        <v/>
      </c>
      <c r="G13" s="7" t="inlineStr">
        <is>
          <t>TotalLiab_FY26/TotalAssets_FY26</t>
        </is>
      </c>
      <c r="H13" s="7" t="inlineStr">
        <is>
          <t>Share of assets financed by liabilities; lower = less risk.</t>
        </is>
      </c>
    </row>
    <row r="14">
      <c r="A14" t="inlineStr">
        <is>
          <t>Debt-to-Equity (LT)</t>
        </is>
      </c>
      <c r="B14" s="7" t="inlineStr">
        <is>
          <t>Leverage</t>
        </is>
      </c>
      <c r="C14" s="12">
        <f>LongTermDebt_FY23/TotalEquity_FY23</f>
        <v/>
      </c>
      <c r="D14" s="12">
        <f>LongTermDebt_FY24/TotalEquity_FY24</f>
        <v/>
      </c>
      <c r="E14" s="12">
        <f>LongTermDebt_FY25/TotalEquity_FY25</f>
        <v/>
      </c>
      <c r="F14" s="12">
        <f>LongTermDebt_FY26/TotalEquity_FY26</f>
        <v/>
      </c>
      <c r="G14" s="7" t="inlineStr">
        <is>
          <t>LongTermDebt_FY26/TotalEquity_FY26</t>
        </is>
      </c>
      <c r="H14" s="7" t="inlineStr">
        <is>
          <t>Long-term debt per $1 of equity.</t>
        </is>
      </c>
    </row>
    <row r="15">
      <c r="A15" t="inlineStr">
        <is>
          <t>Total Debt-to-Equity</t>
        </is>
      </c>
      <c r="B15" s="7" t="inlineStr">
        <is>
          <t>Leverage</t>
        </is>
      </c>
      <c r="C15" s="12">
        <f>TotalLiab_FY23/TotalEquity_FY23</f>
        <v/>
      </c>
      <c r="D15" s="12">
        <f>TotalLiab_FY24/TotalEquity_FY24</f>
        <v/>
      </c>
      <c r="E15" s="12">
        <f>TotalLiab_FY25/TotalEquity_FY25</f>
        <v/>
      </c>
      <c r="F15" s="12">
        <f>TotalLiab_FY26/TotalEquity_FY26</f>
        <v/>
      </c>
      <c r="G15" s="7" t="inlineStr">
        <is>
          <t>TotalLiab_FY26/TotalEquity_FY26</t>
        </is>
      </c>
      <c r="H15" s="7" t="inlineStr">
        <is>
          <t>All liabilities per $1 of equity.</t>
        </is>
      </c>
    </row>
    <row r="16">
      <c r="A16" t="inlineStr">
        <is>
          <t>Times Interest Earned</t>
        </is>
      </c>
      <c r="B16" s="7" t="inlineStr">
        <is>
          <t>Leverage</t>
        </is>
      </c>
      <c r="C16" s="12">
        <f>EBIT_FY23/Interest_FY23</f>
        <v/>
      </c>
      <c r="D16" s="12">
        <f>EBIT_FY24/Interest_FY24</f>
        <v/>
      </c>
      <c r="E16" s="12">
        <f>EBIT_FY25/Interest_FY25</f>
        <v/>
      </c>
      <c r="F16" s="12">
        <f>EBIT_FY26/Interest_FY26</f>
        <v/>
      </c>
      <c r="G16" s="7" t="inlineStr">
        <is>
          <t>EBIT_FY26/Interest_FY26</t>
        </is>
      </c>
      <c r="H16" s="7" t="inlineStr">
        <is>
          <t>EBIT coverage of interest; &gt;3 is comfortable.</t>
        </is>
      </c>
    </row>
    <row r="17">
      <c r="A17" t="inlineStr">
        <is>
          <t>Cash Coverage</t>
        </is>
      </c>
      <c r="B17" s="7" t="inlineStr">
        <is>
          <t>Leverage</t>
        </is>
      </c>
      <c r="C17" s="12">
        <f>(EBIT_FY23+Depreciation_FY23)/Interest_FY23</f>
        <v/>
      </c>
      <c r="D17" s="12">
        <f>(EBIT_FY24+Depreciation_FY24)/Interest_FY24</f>
        <v/>
      </c>
      <c r="E17" s="12">
        <f>(EBIT_FY25+Depreciation_FY25)/Interest_FY25</f>
        <v/>
      </c>
      <c r="F17" s="12">
        <f>(EBIT_FY26+Depreciation_FY26)/Interest_FY26</f>
        <v/>
      </c>
      <c r="G17" s="7" t="inlineStr">
        <is>
          <t>(EBIT_FY26+Depreciation_FY26)/Interest_FY26</t>
        </is>
      </c>
      <c r="H17" s="7" t="inlineStr">
        <is>
          <t>Interest coverage adding back non-cash depreciation.</t>
        </is>
      </c>
    </row>
    <row r="18">
      <c r="A18" t="inlineStr">
        <is>
          <t>Fixed Charge Coverage</t>
        </is>
      </c>
      <c r="B18" s="7" t="inlineStr">
        <is>
          <t>Leverage</t>
        </is>
      </c>
      <c r="C18" s="12">
        <f>(EBIT_FY23+LeasePayments_FY23)/(Interest_FY23+LeasePayments_FY23)</f>
        <v/>
      </c>
      <c r="D18" s="12">
        <f>(EBIT_FY24+LeasePayments_FY24)/(Interest_FY24+LeasePayments_FY24)</f>
        <v/>
      </c>
      <c r="E18" s="12">
        <f>(EBIT_FY25+LeasePayments_FY25)/(Interest_FY25+LeasePayments_FY25)</f>
        <v/>
      </c>
      <c r="F18" s="12">
        <f>(EBIT_FY26+LeasePayments_FY26)/(Interest_FY26+LeasePayments_FY26)</f>
        <v/>
      </c>
      <c r="G18" s="7" t="inlineStr">
        <is>
          <t>(EBIT_FY26+LeasePayments_FY26)/(Interest_FY26+LeasePayments_FY26)</t>
        </is>
      </c>
      <c r="H18" s="7" t="inlineStr">
        <is>
          <t>Coverage of interest + lease obligations.</t>
        </is>
      </c>
    </row>
    <row r="19">
      <c r="A19" t="inlineStr">
        <is>
          <t>Equity Multiplier</t>
        </is>
      </c>
      <c r="B19" s="7" t="inlineStr">
        <is>
          <t>Leverage</t>
        </is>
      </c>
      <c r="C19" s="14">
        <f>TotalAssets_FY23/TotalEquity_FY23</f>
        <v/>
      </c>
      <c r="D19" s="14">
        <f>TotalAssets_FY24/TotalEquity_FY24</f>
        <v/>
      </c>
      <c r="E19" s="14">
        <f>TotalAssets_FY25/TotalEquity_FY25</f>
        <v/>
      </c>
      <c r="F19" s="14">
        <f>TotalAssets_FY26/TotalEquity_FY26</f>
        <v/>
      </c>
      <c r="G19" s="7" t="inlineStr">
        <is>
          <t>TotalAssets_FY26/TotalEquity_FY26</t>
        </is>
      </c>
      <c r="H19" s="7" t="inlineStr">
        <is>
          <t>Assets per $1 of equity; the leverage factor in DuPont.</t>
        </is>
      </c>
    </row>
    <row r="20">
      <c r="A20" t="inlineStr">
        <is>
          <t>Gross Profit Margin</t>
        </is>
      </c>
      <c r="B20" s="7" t="inlineStr">
        <is>
          <t>Profitability</t>
        </is>
      </c>
      <c r="C20" s="15">
        <f>GrossProfit_FY23/Sales_FY23</f>
        <v/>
      </c>
      <c r="D20" s="15">
        <f>GrossProfit_FY24/Sales_FY24</f>
        <v/>
      </c>
      <c r="E20" s="15">
        <f>GrossProfit_FY25/Sales_FY25</f>
        <v/>
      </c>
      <c r="F20" s="15">
        <f>GrossProfit_FY26/Sales_FY26</f>
        <v/>
      </c>
      <c r="G20" s="7" t="inlineStr">
        <is>
          <t>GrossProfit_FY26/Sales_FY26</t>
        </is>
      </c>
      <c r="H20" s="7" t="inlineStr">
        <is>
          <t>Gross profit per $1 of sales.</t>
        </is>
      </c>
    </row>
    <row r="21">
      <c r="A21" t="inlineStr">
        <is>
          <t>Net Profit Margin</t>
        </is>
      </c>
      <c r="B21" s="7" t="inlineStr">
        <is>
          <t>Profitability</t>
        </is>
      </c>
      <c r="C21" s="16">
        <f>NetIncome_FY23/Sales_FY23</f>
        <v/>
      </c>
      <c r="D21" s="16">
        <f>NetIncome_FY24/Sales_FY24</f>
        <v/>
      </c>
      <c r="E21" s="16">
        <f>NetIncome_FY25/Sales_FY25</f>
        <v/>
      </c>
      <c r="F21" s="16">
        <f>NetIncome_FY26/Sales_FY26</f>
        <v/>
      </c>
      <c r="G21" s="7" t="inlineStr">
        <is>
          <t>NetIncome_FY26/Sales_FY26</t>
        </is>
      </c>
      <c r="H21" s="7" t="inlineStr">
        <is>
          <t>Bottom-line profit per $1 of sales.</t>
        </is>
      </c>
    </row>
    <row r="22">
      <c r="A22" t="inlineStr">
        <is>
          <t>Return on Assets (ROA)</t>
        </is>
      </c>
      <c r="B22" s="7" t="inlineStr">
        <is>
          <t>Profitability</t>
        </is>
      </c>
      <c r="C22" s="16">
        <f>NetIncome_FY23/TotalAssets_FY23</f>
        <v/>
      </c>
      <c r="D22" s="15">
        <f>NetIncome_FY24/TotalAssets_FY24</f>
        <v/>
      </c>
      <c r="E22" s="15">
        <f>NetIncome_FY25/TotalAssets_FY25</f>
        <v/>
      </c>
      <c r="F22" s="15">
        <f>NetIncome_FY26/TotalAssets_FY26</f>
        <v/>
      </c>
      <c r="G22" s="7" t="inlineStr">
        <is>
          <t>NetIncome_FY26/TotalAssets_FY26</t>
        </is>
      </c>
      <c r="H22" s="7" t="inlineStr">
        <is>
          <t>Net income per $1 of assets.</t>
        </is>
      </c>
    </row>
    <row r="23">
      <c r="A23" t="inlineStr">
        <is>
          <t>Return on Equity (ROE)</t>
        </is>
      </c>
      <c r="B23" s="7" t="inlineStr">
        <is>
          <t>Profitability</t>
        </is>
      </c>
      <c r="C23" s="15">
        <f>NetIncome_FY23/TotalEquity_FY23</f>
        <v/>
      </c>
      <c r="D23" s="15">
        <f>NetIncome_FY24/TotalEquity_FY24</f>
        <v/>
      </c>
      <c r="E23" s="15">
        <f>NetIncome_FY25/TotalEquity_FY25</f>
        <v/>
      </c>
      <c r="F23" s="15">
        <f>NetIncome_FY26/TotalEquity_FY26</f>
        <v/>
      </c>
      <c r="G23" s="7" t="inlineStr">
        <is>
          <t>NetIncome_FY26/TotalEquity_FY26</t>
        </is>
      </c>
      <c r="H23" s="7" t="inlineStr">
        <is>
          <t>Net income per $1 of equity.</t>
        </is>
      </c>
    </row>
    <row r="24">
      <c r="A24" t="inlineStr">
        <is>
          <t>Earnings per Share (EPS)</t>
        </is>
      </c>
      <c r="B24" s="7" t="inlineStr">
        <is>
          <t>Profitability</t>
        </is>
      </c>
      <c r="C24" s="17">
        <f>(NetIncome_FY23)/DilutedShares_FY23</f>
        <v/>
      </c>
      <c r="D24" s="17">
        <f>(NetIncome_FY24)/DilutedShares_FY24</f>
        <v/>
      </c>
      <c r="E24" s="17">
        <f>(NetIncome_FY25)/DilutedShares_FY25</f>
        <v/>
      </c>
      <c r="F24" s="17">
        <f>(NetIncome_FY26)/DilutedShares_FY26</f>
        <v/>
      </c>
      <c r="G24" s="7" t="inlineStr">
        <is>
          <t>(NetIncome_FY26)/DilutedShares_FY26</t>
        </is>
      </c>
      <c r="H24" s="7" t="inlineStr">
        <is>
          <t>Earnings attributable to each common share.</t>
        </is>
      </c>
    </row>
    <row r="25">
      <c r="A25" t="inlineStr">
        <is>
          <t>Price/Earnings (P/E)</t>
        </is>
      </c>
      <c r="B25" s="7" t="inlineStr">
        <is>
          <t>Profitability</t>
        </is>
      </c>
      <c r="C25" s="18" t="inlineStr">
        <is>
          <t>n/a</t>
        </is>
      </c>
      <c r="D25" s="18" t="inlineStr">
        <is>
          <t>n/a</t>
        </is>
      </c>
      <c r="E25" s="18" t="inlineStr">
        <is>
          <t>n/a</t>
        </is>
      </c>
      <c r="F25" s="18" t="inlineStr">
        <is>
          <t>n/a</t>
        </is>
      </c>
      <c r="G25" s="7" t="inlineStr">
        <is>
          <t>Price/EPS_FY26</t>
        </is>
      </c>
      <c r="H25" s="7" t="inlineStr">
        <is>
          <t>Price paid per $1 of annual earnings.</t>
        </is>
      </c>
    </row>
    <row r="26">
      <c r="A26" t="inlineStr">
        <is>
          <t>Market-to-Book</t>
        </is>
      </c>
      <c r="B26" s="7" t="inlineStr">
        <is>
          <t>Profitability</t>
        </is>
      </c>
      <c r="C26" s="18" t="inlineStr">
        <is>
          <t>n/a</t>
        </is>
      </c>
      <c r="D26" s="18" t="inlineStr">
        <is>
          <t>n/a</t>
        </is>
      </c>
      <c r="E26" s="18" t="inlineStr">
        <is>
          <t>n/a</t>
        </is>
      </c>
      <c r="F26" s="18" t="inlineStr">
        <is>
          <t>n/a</t>
        </is>
      </c>
      <c r="G26" s="7" t="inlineStr">
        <is>
          <t>Price/BookValuePS</t>
        </is>
      </c>
      <c r="H26" s="7" t="inlineStr">
        <is>
          <t>Market price relative to accounting book value per share.</t>
        </is>
      </c>
    </row>
    <row r="27">
      <c r="A27" t="inlineStr">
        <is>
          <t>ROE (DuPont 3-step)</t>
        </is>
      </c>
      <c r="B27" s="7" t="inlineStr">
        <is>
          <t>DuPont</t>
        </is>
      </c>
      <c r="C27" s="11">
        <f>(NetIncome_FY23/Sales_FY23)*(Sales_FY23/TotalAssets_FY23)*(TotalAssets_FY23/TotalEquity_FY23)</f>
        <v/>
      </c>
      <c r="D27" s="11">
        <f>(NetIncome_FY24/Sales_FY24)*(Sales_FY24/TotalAssets_FY24)*(TotalAssets_FY24/TotalEquity_FY24)</f>
        <v/>
      </c>
      <c r="E27" s="11">
        <f>(NetIncome_FY25/Sales_FY25)*(Sales_FY25/TotalAssets_FY25)*(TotalAssets_FY25/TotalEquity_FY25)</f>
        <v/>
      </c>
      <c r="F27" s="11">
        <f>(NetIncome_FY26/Sales_FY26)*(Sales_FY26/TotalAssets_FY26)*(TotalAssets_FY26/TotalEquity_FY26)</f>
        <v/>
      </c>
      <c r="G27" s="7" t="inlineStr">
        <is>
          <t>(NetIncome_FY26/Sales_FY26)*(Sales_FY26/TotalAssets_FY26)*(TotalAssets_FY26/TotalEquity_FY26)</t>
        </is>
      </c>
      <c r="H27" s="7" t="inlineStr">
        <is>
          <t>ROE = Net Margin x Asset Turnover x Equity Multiplier.</t>
        </is>
      </c>
    </row>
    <row r="28">
      <c r="A28" t="inlineStr">
        <is>
          <t>ROE (ROA x leverage)</t>
        </is>
      </c>
      <c r="B28" s="7" t="inlineStr">
        <is>
          <t>DuPont</t>
        </is>
      </c>
      <c r="C28" s="11">
        <f>(NetIncome_FY23/TotalAssets_FY23)*(1+TotalLiab_FY23/TotalEquity_FY23)</f>
        <v/>
      </c>
      <c r="D28" s="11">
        <f>(NetIncome_FY24/TotalAssets_FY24)*(1+TotalLiab_FY24/TotalEquity_FY24)</f>
        <v/>
      </c>
      <c r="E28" s="11">
        <f>(NetIncome_FY25/TotalAssets_FY25)*(1+TotalLiab_FY25/TotalEquity_FY25)</f>
        <v/>
      </c>
      <c r="F28" s="11">
        <f>(NetIncome_FY26/TotalAssets_FY26)*(1+TotalLiab_FY26/TotalEquity_FY26)</f>
        <v/>
      </c>
      <c r="G28" s="7" t="inlineStr">
        <is>
          <t>(NetIncome_FY26/TotalAssets_FY26)*(1+TotalLiab_FY26/TotalEquity_FY26)</t>
        </is>
      </c>
      <c r="H28" s="7" t="inlineStr">
        <is>
          <t>Cross-check: ROE = ROA x (1 + Total Debt/Equity).</t>
        </is>
      </c>
    </row>
    <row r="30">
      <c r="A30" s="7" t="inlineStr">
        <is>
          <t>Green = healthy, red = weak (vs. generic thresholds; fills reflect loaded data).</t>
        </is>
      </c>
    </row>
    <row r="32">
      <c r="A32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32:H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Valuation -- WACC / DCF / Gordon / Multiples</t>
        </is>
      </c>
    </row>
    <row r="3">
      <c r="A3" s="2" t="inlineStr">
        <is>
          <t>Cost of Capital</t>
        </is>
      </c>
    </row>
    <row r="4">
      <c r="A4" t="inlineStr">
        <is>
          <t>After-tax cost of debt k_d</t>
        </is>
      </c>
      <c r="B4" s="19">
        <f>(1-'Assumptions'!$B$13)*'Assumptions'!$B$18</f>
        <v/>
      </c>
      <c r="C4" s="7" t="inlineStr">
        <is>
          <t>(1 - T) x pre-tax YTM</t>
        </is>
      </c>
    </row>
    <row r="5">
      <c r="A5" t="inlineStr">
        <is>
          <t>Cost of equity k_e (CAPM)</t>
        </is>
      </c>
      <c r="B5" s="19">
        <f>'Assumptions'!$B$9+'Assumptions'!$B$11*('Assumptions'!$B$10-'Assumptions'!$B$9)</f>
        <v/>
      </c>
      <c r="C5" s="7" t="inlineStr">
        <is>
          <t>Rf + beta x (E(Rm) - Rf)</t>
        </is>
      </c>
    </row>
    <row r="6">
      <c r="A6" t="inlineStr">
        <is>
          <t>Cost of preferred k_p</t>
        </is>
      </c>
      <c r="B6" s="19">
        <f>IF('Assumptions'!$B$4=0,0,'Assumptions'!$B$7/('Assumptions'!$B$4*(1-'Assumptions'!$B$14)))</f>
        <v/>
      </c>
      <c r="C6" s="7" t="inlineStr">
        <is>
          <t>D_p / (P_p (1 - f))  [proxy]</t>
        </is>
      </c>
    </row>
    <row r="7">
      <c r="A7" t="inlineStr">
        <is>
          <t>Weight of debt W_d</t>
        </is>
      </c>
      <c r="B7" s="19">
        <f>IF(('Inputs'!$E$31+'Inputs'!$E$35)=0,0,'Inputs'!$E$31/('Inputs'!$E$31+'Inputs'!$E$35))</f>
        <v/>
      </c>
      <c r="C7" s="7" t="inlineStr">
        <is>
          <t>Market/structure weight</t>
        </is>
      </c>
    </row>
    <row r="8">
      <c r="A8" t="inlineStr">
        <is>
          <t>Weight of equity W_e</t>
        </is>
      </c>
      <c r="B8" s="19">
        <f>IF(('Inputs'!$E$31+'Inputs'!$E$35)=0,0,'Inputs'!$E$35/('Inputs'!$E$31+'Inputs'!$E$35))</f>
        <v/>
      </c>
    </row>
    <row r="9">
      <c r="A9" t="inlineStr">
        <is>
          <t>WACC</t>
        </is>
      </c>
      <c r="B9" s="19">
        <f>B7*B4+B8*B5</f>
        <v/>
      </c>
      <c r="C9" s="7" t="inlineStr">
        <is>
          <t>W_d k_d + W_e k_e</t>
        </is>
      </c>
    </row>
    <row r="11">
      <c r="A11" s="2" t="inlineStr">
        <is>
          <t>Discounted Cash Flow (illustrative)</t>
        </is>
      </c>
    </row>
    <row r="12">
      <c r="A12" t="inlineStr">
        <is>
          <t>Base free cash flow (CFO - CapEx)</t>
        </is>
      </c>
      <c r="B12" s="20">
        <f>'Inputs'!$E$38-'Inputs'!$E$43</f>
        <v/>
      </c>
      <c r="C12" s="7" t="inlineStr">
        <is>
          <t>From latest cash-flow statement</t>
        </is>
      </c>
    </row>
    <row r="13">
      <c r="A13" t="inlineStr">
        <is>
          <t>Projection growth g (Assumptions)</t>
        </is>
      </c>
      <c r="B13" s="21">
        <f>'Assumptions'!$B$8</f>
        <v/>
      </c>
    </row>
    <row r="14">
      <c r="A14" t="inlineStr">
        <is>
          <t>Year</t>
        </is>
      </c>
      <c r="B14" s="6" t="n">
        <v>1</v>
      </c>
      <c r="C14" s="6" t="n">
        <v>2</v>
      </c>
      <c r="D14" s="6" t="n">
        <v>3</v>
      </c>
      <c r="E14" s="6" t="n">
        <v>4</v>
      </c>
      <c r="F14" s="6" t="n">
        <v>5</v>
      </c>
      <c r="G14" s="6" t="inlineStr">
        <is>
          <t>Terminal</t>
        </is>
      </c>
    </row>
    <row r="15">
      <c r="A15" t="inlineStr">
        <is>
          <t>Projected FCF</t>
        </is>
      </c>
      <c r="B15" s="20">
        <f>B12*(1+B13)</f>
        <v/>
      </c>
      <c r="C15" s="20">
        <f>B15*(1+B13)</f>
        <v/>
      </c>
      <c r="D15" s="20">
        <f>C15*(1+B13)</f>
        <v/>
      </c>
      <c r="E15" s="20">
        <f>D15*(1+B13)</f>
        <v/>
      </c>
      <c r="F15" s="20">
        <f>E15*(1+B13)</f>
        <v/>
      </c>
      <c r="G15" s="20">
        <f>IF((B9-B13)&lt;=0,0,F15*(1+B13)/(B9-B13))</f>
        <v/>
      </c>
    </row>
    <row r="16">
      <c r="A16" t="inlineStr">
        <is>
          <t>PV of explicit FCF (yrs 1-5)</t>
        </is>
      </c>
      <c r="B16" s="20">
        <f>NPV(B9,C15:F15)</f>
        <v/>
      </c>
    </row>
    <row r="17">
      <c r="A17" t="inlineStr">
        <is>
          <t>PV of terminal value</t>
        </is>
      </c>
      <c r="B17" s="20">
        <f>G15/((1+B9)^5)</f>
        <v/>
      </c>
    </row>
    <row r="18">
      <c r="A18" s="6" t="inlineStr">
        <is>
          <t>Enterprise value (DCF)</t>
        </is>
      </c>
      <c r="B18" s="20">
        <f>B16+B17</f>
        <v/>
      </c>
    </row>
    <row r="19">
      <c r="A19" t="inlineStr">
        <is>
          <t>Intrinsic value per share (EV/shares)</t>
        </is>
      </c>
      <c r="B19" s="22">
        <f>IF('Inputs'!$E$16=0,0,B18/'Inputs'!$E$16)</f>
        <v/>
      </c>
    </row>
    <row r="20">
      <c r="A20" t="inlineStr">
        <is>
          <t>Market price per share</t>
        </is>
      </c>
      <c r="B20" s="22">
        <f>'Assumptions'!$B$4</f>
        <v/>
      </c>
    </row>
    <row r="21">
      <c r="A21" s="6" t="inlineStr">
        <is>
          <t>Upside / (downside) vs market</t>
        </is>
      </c>
      <c r="B21" s="23">
        <f>IF('Assumptions'!$B$4=0,0,B19/'Assumptions'!$B$4-1)</f>
        <v/>
      </c>
    </row>
    <row r="23">
      <c r="A23" s="2" t="inlineStr">
        <is>
          <t>Cross-checks</t>
        </is>
      </c>
    </row>
    <row r="24">
      <c r="A24" t="inlineStr">
        <is>
          <t>Gordon-growth value = D0(1+g)/(k_e - g)</t>
        </is>
      </c>
      <c r="B24" s="22">
        <f>IF((B5-B13)&lt;=0,0,'Assumptions'!$B$7*(1+B13)/(B5-B13))</f>
        <v/>
      </c>
    </row>
    <row r="25">
      <c r="A25" t="inlineStr">
        <is>
          <t>Multiples value = EPS x assumed P/E (15x)</t>
        </is>
      </c>
      <c r="B25" s="22">
        <f>'Inputs'!$E$17*15</f>
        <v/>
      </c>
    </row>
    <row r="27">
      <c r="A27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27:G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Capital Budgeting -- editable project (sec 4.7)</t>
        </is>
      </c>
    </row>
    <row r="2">
      <c r="A2" s="7" t="inlineStr">
        <is>
          <t>Edit the cash flows; NPV / IRR / PI / payback recalc live.</t>
        </is>
      </c>
    </row>
    <row r="4">
      <c r="A4" t="inlineStr">
        <is>
          <t>Required return k (uses WACC if set)</t>
        </is>
      </c>
      <c r="B4" s="21">
        <f>IF(Valuation!B9&gt;0,Valuation!B9,Assumptions!$B$12)</f>
        <v/>
      </c>
    </row>
    <row r="6">
      <c r="A6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</row>
    <row r="7">
      <c r="A7" s="6" t="inlineStr">
        <is>
          <t>Net cash flow (NCF)</t>
        </is>
      </c>
      <c r="B7" s="24" t="n">
        <v>-100000</v>
      </c>
      <c r="C7" s="24" t="n">
        <v>30000</v>
      </c>
      <c r="D7" s="24" t="n">
        <v>35000</v>
      </c>
      <c r="E7" s="24" t="n">
        <v>40000</v>
      </c>
      <c r="F7" s="24" t="n">
        <v>30000</v>
      </c>
      <c r="G7" s="24" t="n">
        <v>25000</v>
      </c>
    </row>
    <row r="8">
      <c r="A8" t="inlineStr">
        <is>
          <t>Cumulative cash flow</t>
        </is>
      </c>
      <c r="B8" s="20">
        <f>B7</f>
        <v/>
      </c>
      <c r="C8" s="20">
        <f>B8+C7</f>
        <v/>
      </c>
      <c r="D8" s="20">
        <f>C8+D7</f>
        <v/>
      </c>
      <c r="E8" s="20">
        <f>D8+E7</f>
        <v/>
      </c>
      <c r="F8" s="20">
        <f>E8+F7</f>
        <v/>
      </c>
      <c r="G8" s="20">
        <f>F8+G7</f>
        <v/>
      </c>
    </row>
    <row r="10">
      <c r="A10" t="inlineStr">
        <is>
          <t>NPV</t>
        </is>
      </c>
      <c r="B10" s="25">
        <f>B7+NPV(B4,C7:G7)</f>
        <v/>
      </c>
      <c r="D10" s="7">
        <f> -outlay + PV(future NCF)</f>
        <v/>
      </c>
    </row>
    <row r="11">
      <c r="A11" t="inlineStr">
        <is>
          <t>IRR</t>
        </is>
      </c>
      <c r="B11" s="26">
        <f>IRR(B7:G7)</f>
        <v/>
      </c>
    </row>
    <row r="12">
      <c r="A12" t="inlineStr">
        <is>
          <t>Profitability Index (PI)</t>
        </is>
      </c>
      <c r="B12" s="27">
        <f>IF(B7=0,0,NPV(B4,C7:G7)/-B7)</f>
        <v/>
      </c>
      <c r="D12" s="7" t="inlineStr">
        <is>
          <t>PV future / initial outlay</t>
        </is>
      </c>
    </row>
    <row r="13">
      <c r="A13" t="inlineStr">
        <is>
          <t>Payback (yrs, approx)</t>
        </is>
      </c>
      <c r="B13" s="28">
        <f>MATCH(TRUE,INDEX(C8:G8&gt;=0,0),0)</f>
        <v/>
      </c>
      <c r="D13" s="7" t="inlineStr">
        <is>
          <t>First year cumulative &gt;= 0</t>
        </is>
      </c>
    </row>
    <row r="14">
      <c r="A14" t="inlineStr">
        <is>
          <t>Accounting Rate of Return (ARR)</t>
        </is>
      </c>
      <c r="B14" s="26">
        <f>AVERAGE(C7:G7)/(-B7/2)</f>
        <v/>
      </c>
      <c r="D14" s="7" t="inlineStr">
        <is>
          <t>avg income / avg book value</t>
        </is>
      </c>
    </row>
    <row r="16">
      <c r="A16" s="2" t="inlineStr">
        <is>
          <t>Decision rules</t>
        </is>
      </c>
    </row>
    <row r="17">
      <c r="A17" t="inlineStr">
        <is>
          <t>NPV rule (&gt;0 accept)</t>
        </is>
      </c>
      <c r="B17">
        <f>IF(B10&gt;0,"ACCEPT","REJECT")</f>
        <v/>
      </c>
    </row>
    <row r="18">
      <c r="A18" t="inlineStr">
        <is>
          <t>IRR rule (&gt;k accept)</t>
        </is>
      </c>
      <c r="B18">
        <f>IF(B11&gt;B4,"ACCEPT","REJECT")</f>
        <v/>
      </c>
    </row>
    <row r="19">
      <c r="A19" t="inlineStr">
        <is>
          <t>PI rule (&gt;1 accept)</t>
        </is>
      </c>
      <c r="B19">
        <f>IF(B12&gt;1,"ACCEPT","REJECT")</f>
        <v/>
      </c>
    </row>
    <row r="21">
      <c r="A21" s="6" t="inlineStr">
        <is>
          <t>NPV profile (for chart)</t>
        </is>
      </c>
    </row>
    <row r="22">
      <c r="A22" t="inlineStr">
        <is>
          <t>Discount rate</t>
        </is>
      </c>
      <c r="B22" t="inlineStr">
        <is>
          <t>NPV</t>
        </is>
      </c>
    </row>
    <row r="23">
      <c r="A23" s="29" t="n">
        <v>0</v>
      </c>
      <c r="B23" s="20">
        <f>B7+NPV(A23,C7:G7)</f>
        <v/>
      </c>
    </row>
    <row r="24">
      <c r="A24" s="29" t="n">
        <v>0.05</v>
      </c>
      <c r="B24" s="20">
        <f>B7+NPV(A24,C7:G7)</f>
        <v/>
      </c>
    </row>
    <row r="25">
      <c r="A25" s="29" t="n">
        <v>0.1</v>
      </c>
      <c r="B25" s="20">
        <f>B7+NPV(A25,C7:G7)</f>
        <v/>
      </c>
    </row>
    <row r="26">
      <c r="A26" s="29" t="n">
        <v>0.15</v>
      </c>
      <c r="B26" s="20">
        <f>B7+NPV(A26,C7:G7)</f>
        <v/>
      </c>
    </row>
    <row r="27">
      <c r="A27" s="29" t="n">
        <v>0.2</v>
      </c>
      <c r="B27" s="20">
        <f>B7+NPV(A27,C7:G7)</f>
        <v/>
      </c>
    </row>
    <row r="28">
      <c r="A28" s="29" t="n">
        <v>0.25</v>
      </c>
      <c r="B28" s="20">
        <f>B7+NPV(A28,C7:G7)</f>
        <v/>
      </c>
    </row>
    <row r="29">
      <c r="A29" s="29" t="n">
        <v>0.3</v>
      </c>
      <c r="B29" s="20">
        <f>B7+NPV(A29,C7:G7)</f>
        <v/>
      </c>
    </row>
    <row r="31">
      <c r="A31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31:G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Charts</t>
        </is>
      </c>
    </row>
    <row r="22">
      <c r="A22" t="inlineStr">
        <is>
          <t>Intrinsic vs Market (per share)</t>
        </is>
      </c>
    </row>
    <row r="23">
      <c r="A23" t="inlineStr">
        <is>
          <t>Intrinsic</t>
        </is>
      </c>
      <c r="B23" s="22">
        <f>Valuation!B19</f>
        <v/>
      </c>
    </row>
    <row r="24">
      <c r="A24" t="inlineStr">
        <is>
          <t>Market</t>
        </is>
      </c>
      <c r="B24" s="22">
        <f>Assumptions!$B$4</f>
        <v/>
      </c>
    </row>
    <row r="60">
      <c r="A60" s="7" t="inlineStr">
        <is>
          <t>Educational analysis only -- NOT investment, tax, or legal advice. Consult a licensed advisor before acting. Every figure ties to an input cell or cited SEC filing; missing inputs are excluded, never invented.</t>
        </is>
      </c>
    </row>
  </sheetData>
  <mergeCells count="1">
    <mergeCell ref="A60:F6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2026-06-26T18:07:13Z</dcterms:created>
  <dcterms:modified xsi:type="dcterms:W3CDTF">2026-06-26T18:07:13Z</dcterms:modified>
</cp:coreProperties>
</file>