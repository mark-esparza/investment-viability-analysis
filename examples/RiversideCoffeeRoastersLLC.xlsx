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Assumptions" sheetId="2" state="visible" r:id="rId2"/>
    <sheet name="Ratios" sheetId="3" state="visible" r:id="rId3"/>
    <sheet name="Valuation" sheetId="4" state="visible" r:id="rId4"/>
    <sheet name="CapBudget" sheetId="5" state="visible" r:id="rId5"/>
    <sheet name="Charts" sheetId="6" state="visible" r:id="rId6"/>
  </sheets>
  <definedNames>
    <definedName name="Sales_FY23">'Inputs'!$B$5</definedName>
    <definedName name="Sales_FY24">'Inputs'!$C$5</definedName>
    <definedName name="COGS_FY23">'Inputs'!$B$6</definedName>
    <definedName name="COGS_FY24">'Inputs'!$C$6</definedName>
    <definedName name="GrossProfit_FY23">'Inputs'!$B$7</definedName>
    <definedName name="GrossProfit_FY24">'Inputs'!$C$7</definedName>
    <definedName name="OpEx_FY23">'Inputs'!$B$8</definedName>
    <definedName name="OpEx_FY24">'Inputs'!$C$8</definedName>
    <definedName name="Depreciation_FY23">'Inputs'!$B$9</definedName>
    <definedName name="Depreciation_FY24">'Inputs'!$C$9</definedName>
    <definedName name="EBIT_FY23">'Inputs'!$B$10</definedName>
    <definedName name="EBIT_FY24">'Inputs'!$C$10</definedName>
    <definedName name="Interest_FY23">'Inputs'!$B$11</definedName>
    <definedName name="Interest_FY24">'Inputs'!$C$11</definedName>
    <definedName name="EBT_FY23">'Inputs'!$B$12</definedName>
    <definedName name="EBT_FY24">'Inputs'!$C$12</definedName>
    <definedName name="NetIncome_FY23">'Inputs'!$B$14</definedName>
    <definedName name="NetIncome_FY24">'Inputs'!$C$14</definedName>
    <definedName name="Cash_FY23">'Inputs'!$B$20</definedName>
    <definedName name="Cash_FY24">'Inputs'!$C$20</definedName>
    <definedName name="AR_FY23">'Inputs'!$B$22</definedName>
    <definedName name="AR_FY24">'Inputs'!$C$22</definedName>
    <definedName name="Inventory_FY23">'Inputs'!$B$23</definedName>
    <definedName name="Inventory_FY24">'Inputs'!$C$23</definedName>
    <definedName name="CurrentAssets_FY23">'Inputs'!$B$25</definedName>
    <definedName name="CurrentAssets_FY24">'Inputs'!$C$25</definedName>
    <definedName name="NetFixedAssets_FY23">'Inputs'!$B$26</definedName>
    <definedName name="NetFixedAssets_FY24">'Inputs'!$C$26</definedName>
    <definedName name="TotalAssets_FY23">'Inputs'!$B$27</definedName>
    <definedName name="TotalAssets_FY24">'Inputs'!$C$27</definedName>
    <definedName name="AP_FY23">'Inputs'!$B$28</definedName>
    <definedName name="AP_FY24">'Inputs'!$C$28</definedName>
    <definedName name="CurrentLiab_FY23">'Inputs'!$B$30</definedName>
    <definedName name="CurrentLiab_FY24">'Inputs'!$C$30</definedName>
    <definedName name="LongTermDebt_FY23">'Inputs'!$B$31</definedName>
    <definedName name="LongTermDebt_FY24">'Inputs'!$C$31</definedName>
    <definedName name="TotalLiab_FY23">'Inputs'!$B$32</definedName>
    <definedName name="TotalLiab_FY24">'Inputs'!$C$32</definedName>
    <definedName name="TotalEquity_FY23">'Inputs'!$B$35</definedName>
    <definedName name="TotalEquity_FY24">'Inputs'!$C$35</definedName>
    <definedName name="CFO_FY23">'Inputs'!$B$38</definedName>
    <definedName name="CFO_FY24">'Inputs'!$C$38</definedName>
    <definedName name="CFI_FY23">'Inputs'!$B$39</definedName>
    <definedName name="CFI_FY24">'Inputs'!$C$39</definedName>
    <definedName name="CFF_FY23">'Inputs'!$B$40</definedName>
    <definedName name="CFF_FY24">'Inputs'!$C$40</definedName>
    <definedName name="NetChangeCash_FY23">'Inputs'!$B$41</definedName>
    <definedName name="NetChangeCash_FY24">'Inputs'!$C$41</definedName>
    <definedName name="CapEx_FY23">'Inputs'!$B$43</definedName>
    <definedName name="CapEx_FY24">'Inputs'!$C$43</definedName>
    <definedName name="Price">'Assumptions'!$B$4</definedName>
    <definedName name="SharesOut">'Assumptions'!$B$5</definedName>
    <definedName name="BookValuePS">'Assumptions'!$B$6</definedName>
    <definedName name="DPS">'Assumptions'!$B$7</definedName>
    <definedName name="GrowthG">'Assumptions'!$B$8</definedName>
    <definedName name="Rf">'Assumptions'!$B$9</definedName>
    <definedName name="MarketReturn">'Assumptions'!$B$10</definedName>
    <definedName name="Beta">'Assumptions'!$B$11</definedName>
    <definedName name="RequiredReturnK">'Assumptions'!$B$12</definedName>
    <definedName name="TaxRate">'Assumptions'!$B$13</definedName>
    <definedName name="Flotation">'Assumptions'!$B$14</definedName>
    <definedName name="WeightDebt">'Assumptions'!$B$15</definedName>
    <definedName name="WeightPref">'Assumptions'!$B$16</definedName>
    <definedName name="WeightEquity">'Assumptions'!$B$17</definedName>
    <definedName name="CostDebtPretax">'Assumptions'!$B$18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3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2" fontId="0" fillId="5" borderId="0" applyAlignment="1" pivotButton="0" quotePrefix="0" xfId="0">
      <alignment horizontal="center"/>
    </xf>
    <xf numFmtId="3" fontId="0" fillId="5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0" fontId="0" fillId="0" borderId="1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3" fontId="0" fillId="4" borderId="1" pivotButton="0" quotePrefix="0" xfId="0"/>
    <xf numFmtId="3" fontId="3" fillId="0" borderId="1" pivotButton="0" quotePrefix="0" xfId="0"/>
    <xf numFmtId="10" fontId="3" fillId="0" borderId="1" pivotButton="0" quotePrefix="0" xfId="0"/>
    <xf numFmtId="166" fontId="3" fillId="0" borderId="1" pivotButton="0" quotePrefix="0" xfId="0"/>
    <xf numFmtId="164" fontId="3" fillId="0" borderId="1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Key ratio trends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'Ratios'!$C$3:$D$3</f>
            </numRef>
          </cat>
          <val>
            <numRef>
              <f>'Ratios'!$C$23:$D$23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'Ratios'!$C$3:$D$3</f>
            </numRef>
          </cat>
          <val>
            <numRef>
              <f>'Ratios'!$C$21:$D$21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'Ratios'!$C$3:$D$3</f>
            </numRef>
          </cat>
          <val>
            <numRef>
              <f>'Ratios'!$C$4:$D$4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Intrinsic vs Market value/share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'Charts'!$A$23:$A$24</f>
            </numRef>
          </cat>
          <val>
            <numRef>
              <f>'Charts'!$B$23:$B$24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NPV profile (NPV vs discount rate)</a:t>
            </a:r>
          </a:p>
        </rich>
      </tx>
    </title>
    <plotArea>
      <lineChart>
        <grouping val="standard"/>
        <ser>
          <idx val="0"/>
          <order val="0"/>
          <tx>
            <strRef>
              <f>'CapBudget'!B22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'CapBudget'!$A$23:$A$29</f>
            </numRef>
          </cat>
          <val>
            <numRef>
              <f>'CapBudget'!$B$23:$B$29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" t="inlineStr">
        <is>
          <t>Riverside Coffee Roasters LLC -- Raw Inputs</t>
        </is>
      </c>
    </row>
    <row r="3">
      <c r="A3" s="2" t="inlineStr">
        <is>
          <t>Line item ($, except per-share)</t>
        </is>
      </c>
      <c r="B3" s="3" t="inlineStr">
        <is>
          <t>FY23</t>
        </is>
      </c>
      <c r="C3" s="3" t="inlineStr">
        <is>
          <t>FY24</t>
        </is>
      </c>
    </row>
    <row r="4">
      <c r="A4" s="4" t="inlineStr">
        <is>
          <t>Income Statement</t>
        </is>
      </c>
    </row>
    <row r="5">
      <c r="A5" t="inlineStr">
        <is>
          <t>Revenue (Sales)</t>
        </is>
      </c>
      <c r="B5" s="5" t="n">
        <v>1680000</v>
      </c>
      <c r="C5" s="5" t="n">
        <v>1950000</v>
      </c>
    </row>
    <row r="6">
      <c r="A6" t="inlineStr">
        <is>
          <t>Cost of Goods Sold</t>
        </is>
      </c>
      <c r="B6" s="5" t="n">
        <v>680000</v>
      </c>
      <c r="C6" s="5" t="n">
        <v>765000</v>
      </c>
    </row>
    <row r="7">
      <c r="A7" t="inlineStr">
        <is>
          <t>Gross Profit</t>
        </is>
      </c>
      <c r="B7" s="5" t="n">
        <v>1000000</v>
      </c>
      <c r="C7" s="5" t="n">
        <v>1185000</v>
      </c>
    </row>
    <row r="8">
      <c r="A8" t="inlineStr">
        <is>
          <t>Operating / Admin Expenses</t>
        </is>
      </c>
      <c r="B8" s="5" t="n">
        <v>805000</v>
      </c>
      <c r="C8" s="5" t="n">
        <v>930000</v>
      </c>
    </row>
    <row r="9">
      <c r="A9" t="inlineStr">
        <is>
          <t>Depreciation &amp; Amortization</t>
        </is>
      </c>
      <c r="B9" s="5" t="n">
        <v>48000</v>
      </c>
      <c r="C9" s="5" t="n">
        <v>52000</v>
      </c>
    </row>
    <row r="10">
      <c r="A10" t="inlineStr">
        <is>
          <t>EBIT (Operating Income)</t>
        </is>
      </c>
      <c r="B10" s="5" t="n">
        <v>147000</v>
      </c>
      <c r="C10" s="5" t="n">
        <v>203000</v>
      </c>
    </row>
    <row r="11">
      <c r="A11" t="inlineStr">
        <is>
          <t>Interest Expense</t>
        </is>
      </c>
      <c r="B11" s="5" t="n">
        <v>30000</v>
      </c>
      <c r="C11" s="5" t="n">
        <v>31000</v>
      </c>
    </row>
    <row r="12">
      <c r="A12" t="inlineStr">
        <is>
          <t>Earnings Before Tax</t>
        </is>
      </c>
      <c r="B12" s="5" t="n">
        <v>117000</v>
      </c>
      <c r="C12" s="5" t="n">
        <v>172000</v>
      </c>
    </row>
    <row r="13">
      <c r="A13" t="inlineStr">
        <is>
          <t>Income Taxes</t>
        </is>
      </c>
    </row>
    <row r="14">
      <c r="A14" t="inlineStr">
        <is>
          <t>Net Income</t>
        </is>
      </c>
      <c r="B14" s="5" t="n">
        <v>117000</v>
      </c>
      <c r="C14" s="5" t="n">
        <v>172000</v>
      </c>
    </row>
    <row r="15">
      <c r="A15" t="inlineStr">
        <is>
          <t>Preferred Dividends</t>
        </is>
      </c>
    </row>
    <row r="16">
      <c r="A16" t="inlineStr">
        <is>
          <t>Diluted Shares Outstanding</t>
        </is>
      </c>
    </row>
    <row r="17">
      <c r="A17" t="inlineStr">
        <is>
          <t>Earnings per Share (diluted)</t>
        </is>
      </c>
    </row>
    <row r="19">
      <c r="A19" s="4" t="inlineStr">
        <is>
          <t>Balance Sheet</t>
        </is>
      </c>
    </row>
    <row r="20">
      <c r="A20" t="inlineStr">
        <is>
          <t>Cash &amp; Equivalents</t>
        </is>
      </c>
      <c r="B20" s="5" t="n">
        <v>85000</v>
      </c>
      <c r="C20" s="5" t="n">
        <v>130000</v>
      </c>
    </row>
    <row r="21">
      <c r="A21" t="inlineStr">
        <is>
          <t>Marketable Securities</t>
        </is>
      </c>
    </row>
    <row r="22">
      <c r="A22" t="inlineStr">
        <is>
          <t>Accounts Receivable</t>
        </is>
      </c>
      <c r="B22" s="5" t="n">
        <v>42000</v>
      </c>
      <c r="C22" s="5" t="n">
        <v>48000</v>
      </c>
    </row>
    <row r="23">
      <c r="A23" t="inlineStr">
        <is>
          <t>Inventory</t>
        </is>
      </c>
      <c r="B23" s="5" t="n">
        <v>82000</v>
      </c>
      <c r="C23" s="5" t="n">
        <v>95000</v>
      </c>
    </row>
    <row r="24">
      <c r="A24" t="inlineStr">
        <is>
          <t>Other Current Assets</t>
        </is>
      </c>
    </row>
    <row r="25">
      <c r="A25" t="inlineStr">
        <is>
          <t>Total Current Assets</t>
        </is>
      </c>
      <c r="B25" s="5" t="n">
        <v>220000</v>
      </c>
      <c r="C25" s="5" t="n">
        <v>285000</v>
      </c>
    </row>
    <row r="26">
      <c r="A26" t="inlineStr">
        <is>
          <t>Net Fixed Assets</t>
        </is>
      </c>
      <c r="B26" s="5" t="n">
        <v>440000</v>
      </c>
      <c r="C26" s="5" t="n">
        <v>470000</v>
      </c>
    </row>
    <row r="27">
      <c r="A27" t="inlineStr">
        <is>
          <t>Total Assets</t>
        </is>
      </c>
      <c r="B27" s="5" t="n">
        <v>660000</v>
      </c>
      <c r="C27" s="5" t="n">
        <v>755000</v>
      </c>
    </row>
    <row r="28">
      <c r="A28" t="inlineStr">
        <is>
          <t>Accounts Payable</t>
        </is>
      </c>
      <c r="B28" s="5" t="n">
        <v>72000</v>
      </c>
      <c r="C28" s="5" t="n">
        <v>80000</v>
      </c>
    </row>
    <row r="29">
      <c r="A29" t="inlineStr">
        <is>
          <t>Other Current Liabilities</t>
        </is>
      </c>
    </row>
    <row r="30">
      <c r="A30" t="inlineStr">
        <is>
          <t>Total Current Liabilities</t>
        </is>
      </c>
      <c r="B30" s="5" t="n">
        <v>100000</v>
      </c>
      <c r="C30" s="5" t="n">
        <v>110000</v>
      </c>
    </row>
    <row r="31">
      <c r="A31" t="inlineStr">
        <is>
          <t>Long-Term Debt</t>
        </is>
      </c>
      <c r="B31" s="5" t="n">
        <v>285000</v>
      </c>
      <c r="C31" s="5" t="n">
        <v>265000</v>
      </c>
    </row>
    <row r="32">
      <c r="A32" t="inlineStr">
        <is>
          <t>Total Liabilities</t>
        </is>
      </c>
      <c r="B32" s="5" t="n">
        <v>385000</v>
      </c>
      <c r="C32" s="5" t="n">
        <v>375000</v>
      </c>
    </row>
    <row r="33">
      <c r="A33" t="inlineStr">
        <is>
          <t>Preferred Equity</t>
        </is>
      </c>
    </row>
    <row r="34">
      <c r="A34" t="inlineStr">
        <is>
          <t>Common Equity</t>
        </is>
      </c>
    </row>
    <row r="35">
      <c r="A35" t="inlineStr">
        <is>
          <t>Total Equity</t>
        </is>
      </c>
      <c r="B35" s="5" t="n">
        <v>275000</v>
      </c>
      <c r="C35" s="5" t="n">
        <v>380000</v>
      </c>
    </row>
    <row r="37">
      <c r="A37" s="4" t="inlineStr">
        <is>
          <t>Cash Flow</t>
        </is>
      </c>
    </row>
    <row r="38">
      <c r="A38" t="inlineStr">
        <is>
          <t>Cash Flow from Operations</t>
        </is>
      </c>
      <c r="B38" s="5" t="n">
        <v>158000</v>
      </c>
      <c r="C38" s="5" t="n">
        <v>205000</v>
      </c>
    </row>
    <row r="39">
      <c r="A39" t="inlineStr">
        <is>
          <t>Cash Flow from Investing</t>
        </is>
      </c>
      <c r="B39" s="5" t="n">
        <v>-68000</v>
      </c>
      <c r="C39" s="5" t="n">
        <v>-82000</v>
      </c>
    </row>
    <row r="40">
      <c r="A40" t="inlineStr">
        <is>
          <t>Cash Flow from Financing</t>
        </is>
      </c>
      <c r="B40" s="5" t="n">
        <v>-65000</v>
      </c>
      <c r="C40" s="5" t="n">
        <v>-78000</v>
      </c>
    </row>
    <row r="41">
      <c r="A41" t="inlineStr">
        <is>
          <t>Net Change in Cash</t>
        </is>
      </c>
      <c r="B41" s="5" t="n">
        <v>25000</v>
      </c>
      <c r="C41" s="5" t="n">
        <v>45000</v>
      </c>
    </row>
    <row r="42">
      <c r="A42" t="inlineStr">
        <is>
          <t>Lease Payments</t>
        </is>
      </c>
    </row>
    <row r="43">
      <c r="A43" t="inlineStr">
        <is>
          <t>Capital Expenditures</t>
        </is>
      </c>
      <c r="B43" s="5" t="n">
        <v>-68000</v>
      </c>
      <c r="C43" s="5" t="n">
        <v>-82000</v>
      </c>
    </row>
    <row r="44">
      <c r="A44" t="inlineStr">
        <is>
          <t>Change in Net Working Capital</t>
        </is>
      </c>
    </row>
    <row r="47">
      <c r="A47" s="6" t="inlineStr">
        <is>
          <t>Sources:</t>
        </is>
      </c>
      <c r="B47" s="7" t="inlineStr">
        <is>
          <t>Upload: riverside_statements.pdf</t>
        </is>
      </c>
      <c r="C47" s="7" t="inlineStr">
        <is>
          <t>Upload: riverside_statements.pdf</t>
        </is>
      </c>
    </row>
    <row r="49">
      <c r="A49" s="7" t="inlineStr">
        <is>
          <t>Educational analysis only -- NOT investment, tax, or legal advice. Consult a licensed advisor before acting. Every figure ties to an input cell or cited SEC filing; missing inputs are excluded, never invented.</t>
        </is>
      </c>
    </row>
  </sheetData>
  <mergeCells count="4">
    <mergeCell ref="A4:C4"/>
    <mergeCell ref="A19:C19"/>
    <mergeCell ref="A49:C49"/>
    <mergeCell ref="A37:C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0" customWidth="1" min="3" max="3"/>
  </cols>
  <sheetData>
    <row r="1">
      <c r="A1" s="1" t="inlineStr">
        <is>
          <t>Market &amp; Policy Assumptions (editable)</t>
        </is>
      </c>
    </row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Notes</t>
        </is>
      </c>
    </row>
    <row r="4">
      <c r="A4" t="inlineStr">
        <is>
          <t>Price Per Share</t>
        </is>
      </c>
      <c r="B4" s="8" t="n"/>
      <c r="C4" s="7" t="inlineStr">
        <is>
          <t>Current market price per share</t>
        </is>
      </c>
    </row>
    <row r="5">
      <c r="A5" t="inlineStr">
        <is>
          <t>Shares Outstanding</t>
        </is>
      </c>
      <c r="B5" s="8" t="n"/>
      <c r="C5" s="7" t="inlineStr">
        <is>
          <t>Shares outstanding</t>
        </is>
      </c>
    </row>
    <row r="6">
      <c r="A6" t="inlineStr">
        <is>
          <t>Book Value Per Share</t>
        </is>
      </c>
      <c r="B6" s="8" t="n"/>
      <c r="C6" s="7" t="inlineStr">
        <is>
          <t>Book value per share</t>
        </is>
      </c>
    </row>
    <row r="7">
      <c r="A7" t="inlineStr">
        <is>
          <t>Dividend Per Share</t>
        </is>
      </c>
      <c r="B7" s="8" t="n"/>
      <c r="C7" s="7" t="inlineStr">
        <is>
          <t>Annual dividend per share (D0)</t>
        </is>
      </c>
    </row>
    <row r="8">
      <c r="A8" t="inlineStr">
        <is>
          <t>Dividend Growth G</t>
        </is>
      </c>
      <c r="B8" s="8" t="n"/>
      <c r="C8" s="7" t="inlineStr">
        <is>
          <t>g -- dividend growth (decimal, &lt; required return)</t>
        </is>
      </c>
    </row>
    <row r="9">
      <c r="A9" t="inlineStr">
        <is>
          <t>Risk Free Rate</t>
        </is>
      </c>
      <c r="B9" s="8" t="n"/>
      <c r="C9" s="7" t="inlineStr">
        <is>
          <t>Rf -- 10Y Treasury or user input (decimal)</t>
        </is>
      </c>
    </row>
    <row r="10">
      <c r="A10" t="inlineStr">
        <is>
          <t>Market Return</t>
        </is>
      </c>
      <c r="B10" s="8" t="n"/>
      <c r="C10" s="7" t="inlineStr">
        <is>
          <t>E(Rm) -- expected market return (decimal)</t>
        </is>
      </c>
    </row>
    <row r="11">
      <c r="A11" t="inlineStr">
        <is>
          <t>Beta</t>
        </is>
      </c>
      <c r="B11" s="8" t="n"/>
      <c r="C11" s="7" t="inlineStr">
        <is>
          <t>Equity beta</t>
        </is>
      </c>
    </row>
    <row r="12">
      <c r="A12" t="inlineStr">
        <is>
          <t>Required Return K</t>
        </is>
      </c>
      <c r="B12" s="8" t="n"/>
      <c r="C12" s="7" t="inlineStr">
        <is>
          <t>k -- required return / WACC override (decimal)</t>
        </is>
      </c>
    </row>
    <row r="13">
      <c r="A13" t="inlineStr">
        <is>
          <t>Tax Rate</t>
        </is>
      </c>
      <c r="B13" s="8" t="n"/>
      <c r="C13" s="7" t="inlineStr">
        <is>
          <t>T -- marginal tax rate (decimal)</t>
        </is>
      </c>
    </row>
    <row r="14">
      <c r="A14" t="inlineStr">
        <is>
          <t>Flotation Cost</t>
        </is>
      </c>
      <c r="B14" s="8" t="n">
        <v>0</v>
      </c>
      <c r="C14" s="7" t="inlineStr">
        <is>
          <t>f -- flotation cost (decimal)</t>
        </is>
      </c>
    </row>
    <row r="15">
      <c r="A15" t="inlineStr">
        <is>
          <t>Weight Debt</t>
        </is>
      </c>
      <c r="B15" s="8" t="n"/>
      <c r="C15" s="7" t="inlineStr">
        <is>
          <t>Capital-structure weight of debt (optional)</t>
        </is>
      </c>
    </row>
    <row r="16">
      <c r="A16" t="inlineStr">
        <is>
          <t>Weight Preferred</t>
        </is>
      </c>
      <c r="B16" s="8" t="n"/>
      <c r="C16" s="7" t="inlineStr">
        <is>
          <t>Weight of preferred (optional)</t>
        </is>
      </c>
    </row>
    <row r="17">
      <c r="A17" t="inlineStr">
        <is>
          <t>Weight Equity</t>
        </is>
      </c>
      <c r="B17" s="8" t="n"/>
      <c r="C17" s="7" t="inlineStr">
        <is>
          <t>Weight of equity (optional)</t>
        </is>
      </c>
    </row>
    <row r="18">
      <c r="A18" t="inlineStr">
        <is>
          <t>Cost Of Debt Pretax</t>
        </is>
      </c>
      <c r="B18" s="8" t="n"/>
      <c r="C18" s="7" t="inlineStr">
        <is>
          <t>Pre-tax cost of debt / YTM (decimal)</t>
        </is>
      </c>
    </row>
    <row r="20">
      <c r="A20" s="7" t="inlineStr">
        <is>
          <t>Educational analysis only -- NOT investment, tax, or legal advice. Consult a licensed advisor before acting. Every figure ties to an input cell or cited SEC filing; missing inputs are excluded, never invented.</t>
        </is>
      </c>
    </row>
  </sheetData>
  <mergeCells count="1"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46" customWidth="1" min="5" max="5"/>
    <col width="60" customWidth="1" min="6" max="6"/>
  </cols>
  <sheetData>
    <row r="1">
      <c r="A1" s="1" t="inlineStr">
        <is>
          <t>Ratio Analysis -- live formulas (sec 4.1-4.5)</t>
        </is>
      </c>
    </row>
    <row r="3">
      <c r="A3" s="2" t="inlineStr">
        <is>
          <t>Metric</t>
        </is>
      </c>
      <c r="B3" s="2" t="inlineStr">
        <is>
          <t>Category</t>
        </is>
      </c>
      <c r="C3" s="3" t="inlineStr">
        <is>
          <t>FY23</t>
        </is>
      </c>
      <c r="D3" s="3" t="inlineStr">
        <is>
          <t>FY24</t>
        </is>
      </c>
      <c r="E3" s="2" t="inlineStr">
        <is>
          <t>Excel formula (latest period)</t>
        </is>
      </c>
      <c r="F3" s="2" t="inlineStr">
        <is>
          <t>Interpretation</t>
        </is>
      </c>
    </row>
    <row r="4">
      <c r="A4" t="inlineStr">
        <is>
          <t>Current Ratio</t>
        </is>
      </c>
      <c r="B4" s="7" t="inlineStr">
        <is>
          <t>Liquidity</t>
        </is>
      </c>
      <c r="C4" s="9">
        <f>CurrentAssets_FY23/CurrentLiab_FY23</f>
        <v/>
      </c>
      <c r="D4" s="9">
        <f>CurrentAssets_FY24/CurrentLiab_FY24</f>
        <v/>
      </c>
      <c r="E4" s="7" t="inlineStr">
        <is>
          <t>CurrentAssets_FY24/CurrentLiab_FY24</t>
        </is>
      </c>
      <c r="F4" s="7" t="inlineStr">
        <is>
          <t>Current assets per $1 of current liabilities; &gt;1 covers near-term bills.</t>
        </is>
      </c>
    </row>
    <row r="5">
      <c r="A5" t="inlineStr">
        <is>
          <t>Quick (Acid-Test) Ratio</t>
        </is>
      </c>
      <c r="B5" s="7" t="inlineStr">
        <is>
          <t>Liquidity</t>
        </is>
      </c>
      <c r="C5" s="9">
        <f>(CurrentAssets_FY23-Inventory_FY23)/CurrentLiab_FY23</f>
        <v/>
      </c>
      <c r="D5" s="9">
        <f>(CurrentAssets_FY24-Inventory_FY24)/CurrentLiab_FY24</f>
        <v/>
      </c>
      <c r="E5" s="7" t="inlineStr">
        <is>
          <t>(CurrentAssets_FY24-Inventory_FY24)/CurrentLiab_FY24</t>
        </is>
      </c>
      <c r="F5" s="7" t="inlineStr">
        <is>
          <t>Liquidity excluding inventory; &gt;1 is conservative coverage.</t>
        </is>
      </c>
    </row>
    <row r="6">
      <c r="A6" t="inlineStr">
        <is>
          <t>Net Working Capital</t>
        </is>
      </c>
      <c r="B6" s="7" t="inlineStr">
        <is>
          <t>Liquidity</t>
        </is>
      </c>
      <c r="C6" s="10">
        <f>CurrentAssets_FY23-CurrentLiab_FY23</f>
        <v/>
      </c>
      <c r="D6" s="10">
        <f>CurrentAssets_FY24-CurrentLiab_FY24</f>
        <v/>
      </c>
      <c r="E6" s="7" t="inlineStr">
        <is>
          <t>CurrentAssets_FY24-CurrentLiab_FY24</t>
        </is>
      </c>
      <c r="F6" s="7" t="inlineStr">
        <is>
          <t>Current assets minus current liabilities; the operating cushion.</t>
        </is>
      </c>
    </row>
    <row r="7">
      <c r="A7" t="inlineStr">
        <is>
          <t>NWC-to-Total-Assets</t>
        </is>
      </c>
      <c r="B7" s="7" t="inlineStr">
        <is>
          <t>Liquidity</t>
        </is>
      </c>
      <c r="C7" s="11">
        <f>(CurrentAssets_FY23-CurrentLiab_FY23)/TotalAssets_FY23</f>
        <v/>
      </c>
      <c r="D7" s="11">
        <f>(CurrentAssets_FY24-CurrentLiab_FY24)/TotalAssets_FY24</f>
        <v/>
      </c>
      <c r="E7" s="7" t="inlineStr">
        <is>
          <t>(CurrentAssets_FY24-CurrentLiab_FY24)/TotalAssets_FY24</t>
        </is>
      </c>
      <c r="F7" s="7" t="inlineStr">
        <is>
          <t>Share of assets funded as working-capital cushion.</t>
        </is>
      </c>
    </row>
    <row r="8">
      <c r="A8" t="inlineStr">
        <is>
          <t>Inventory Turnover</t>
        </is>
      </c>
      <c r="B8" s="7" t="inlineStr">
        <is>
          <t>Activity</t>
        </is>
      </c>
      <c r="C8" s="9">
        <f>COGS_FY23/Inventory_FY23</f>
        <v/>
      </c>
      <c r="D8" s="9">
        <f>COGS_FY24/AVERAGE(Inventory_FY24,Inventory_FY23)</f>
        <v/>
      </c>
      <c r="E8" s="7" t="inlineStr">
        <is>
          <t>COGS_FY24/AVERAGE(Inventory_FY24,Inventory_FY23)</t>
        </is>
      </c>
      <c r="F8" s="7" t="inlineStr">
        <is>
          <t>Times inventory sold per year; higher = leaner stock.</t>
        </is>
      </c>
    </row>
    <row r="9">
      <c r="A9" t="inlineStr">
        <is>
          <t>Days Sales in Inventory</t>
        </is>
      </c>
      <c r="B9" s="7" t="inlineStr">
        <is>
          <t>Activity</t>
        </is>
      </c>
      <c r="C9" s="12">
        <f>365/(COGS_FY23/Inventory_FY23)</f>
        <v/>
      </c>
      <c r="D9" s="12">
        <f>365/(COGS_FY24/AVERAGE(Inventory_FY24,Inventory_FY23))</f>
        <v/>
      </c>
      <c r="E9" s="7" t="inlineStr">
        <is>
          <t>365/(COGS_FY24/AVERAGE(Inventory_FY24,Inventory_FY23))</t>
        </is>
      </c>
      <c r="F9" s="7" t="inlineStr">
        <is>
          <t>Days of inventory on hand; lower = faster conversion to cash.</t>
        </is>
      </c>
    </row>
    <row r="10">
      <c r="A10" t="inlineStr">
        <is>
          <t>Collection Period (DSO)</t>
        </is>
      </c>
      <c r="B10" s="7" t="inlineStr">
        <is>
          <t>Activity</t>
        </is>
      </c>
      <c r="C10" s="12">
        <f>AR_FY23/(Sales_FY23/365)</f>
        <v/>
      </c>
      <c r="D10" s="12">
        <f>AR_FY24/(Sales_FY24/365)</f>
        <v/>
      </c>
      <c r="E10" s="7" t="inlineStr">
        <is>
          <t>AR_FY24/(Sales_FY24/365)</t>
        </is>
      </c>
      <c r="F10" s="7" t="inlineStr">
        <is>
          <t>Average days to collect receivables; lower is better.</t>
        </is>
      </c>
    </row>
    <row r="11">
      <c r="A11" t="inlineStr">
        <is>
          <t>Fixed Asset Turnover</t>
        </is>
      </c>
      <c r="B11" s="7" t="inlineStr">
        <is>
          <t>Activity</t>
        </is>
      </c>
      <c r="C11" s="13">
        <f>Sales_FY23/NetFixedAssets_FY23</f>
        <v/>
      </c>
      <c r="D11" s="13">
        <f>Sales_FY24/NetFixedAssets_FY24</f>
        <v/>
      </c>
      <c r="E11" s="7" t="inlineStr">
        <is>
          <t>Sales_FY24/NetFixedAssets_FY24</t>
        </is>
      </c>
      <c r="F11" s="7" t="inlineStr">
        <is>
          <t>Sales generated per $1 of net fixed assets.</t>
        </is>
      </c>
    </row>
    <row r="12">
      <c r="A12" t="inlineStr">
        <is>
          <t>Total Asset Turnover</t>
        </is>
      </c>
      <c r="B12" s="7" t="inlineStr">
        <is>
          <t>Activity</t>
        </is>
      </c>
      <c r="C12" s="13">
        <f>Sales_FY23/TotalAssets_FY23</f>
        <v/>
      </c>
      <c r="D12" s="13">
        <f>Sales_FY24/TotalAssets_FY24</f>
        <v/>
      </c>
      <c r="E12" s="7" t="inlineStr">
        <is>
          <t>Sales_FY24/TotalAssets_FY24</t>
        </is>
      </c>
      <c r="F12" s="7" t="inlineStr">
        <is>
          <t>Sales generated per $1 of total assets.</t>
        </is>
      </c>
    </row>
    <row r="13">
      <c r="A13" t="inlineStr">
        <is>
          <t>Debt Ratio</t>
        </is>
      </c>
      <c r="B13" s="7" t="inlineStr">
        <is>
          <t>Leverage</t>
        </is>
      </c>
      <c r="C13" s="14">
        <f>TotalLiab_FY23/TotalAssets_FY23</f>
        <v/>
      </c>
      <c r="D13" s="14">
        <f>TotalLiab_FY24/TotalAssets_FY24</f>
        <v/>
      </c>
      <c r="E13" s="7" t="inlineStr">
        <is>
          <t>TotalLiab_FY24/TotalAssets_FY24</t>
        </is>
      </c>
      <c r="F13" s="7" t="inlineStr">
        <is>
          <t>Share of assets financed by liabilities; lower = less risk.</t>
        </is>
      </c>
    </row>
    <row r="14">
      <c r="A14" t="inlineStr">
        <is>
          <t>Debt-to-Equity (LT)</t>
        </is>
      </c>
      <c r="B14" s="7" t="inlineStr">
        <is>
          <t>Leverage</t>
        </is>
      </c>
      <c r="C14" s="9">
        <f>LongTermDebt_FY23/TotalEquity_FY23</f>
        <v/>
      </c>
      <c r="D14" s="9">
        <f>LongTermDebt_FY24/TotalEquity_FY24</f>
        <v/>
      </c>
      <c r="E14" s="7" t="inlineStr">
        <is>
          <t>LongTermDebt_FY24/TotalEquity_FY24</t>
        </is>
      </c>
      <c r="F14" s="7" t="inlineStr">
        <is>
          <t>Long-term debt per $1 of equity.</t>
        </is>
      </c>
    </row>
    <row r="15">
      <c r="A15" t="inlineStr">
        <is>
          <t>Total Debt-to-Equity</t>
        </is>
      </c>
      <c r="B15" s="7" t="inlineStr">
        <is>
          <t>Leverage</t>
        </is>
      </c>
      <c r="C15" s="9">
        <f>TotalLiab_FY23/TotalEquity_FY23</f>
        <v/>
      </c>
      <c r="D15" s="9">
        <f>TotalLiab_FY24/TotalEquity_FY24</f>
        <v/>
      </c>
      <c r="E15" s="7" t="inlineStr">
        <is>
          <t>TotalLiab_FY24/TotalEquity_FY24</t>
        </is>
      </c>
      <c r="F15" s="7" t="inlineStr">
        <is>
          <t>All liabilities per $1 of equity.</t>
        </is>
      </c>
    </row>
    <row r="16">
      <c r="A16" t="inlineStr">
        <is>
          <t>Times Interest Earned</t>
        </is>
      </c>
      <c r="B16" s="7" t="inlineStr">
        <is>
          <t>Leverage</t>
        </is>
      </c>
      <c r="C16" s="9">
        <f>EBIT_FY23/Interest_FY23</f>
        <v/>
      </c>
      <c r="D16" s="9">
        <f>EBIT_FY24/Interest_FY24</f>
        <v/>
      </c>
      <c r="E16" s="7" t="inlineStr">
        <is>
          <t>EBIT_FY24/Interest_FY24</t>
        </is>
      </c>
      <c r="F16" s="7" t="inlineStr">
        <is>
          <t>EBIT coverage of interest; &gt;3 is comfortable.</t>
        </is>
      </c>
    </row>
    <row r="17">
      <c r="A17" t="inlineStr">
        <is>
          <t>Cash Coverage</t>
        </is>
      </c>
      <c r="B17" s="7" t="inlineStr">
        <is>
          <t>Leverage</t>
        </is>
      </c>
      <c r="C17" s="9">
        <f>(EBIT_FY23+Depreciation_FY23)/Interest_FY23</f>
        <v/>
      </c>
      <c r="D17" s="9">
        <f>(EBIT_FY24+Depreciation_FY24)/Interest_FY24</f>
        <v/>
      </c>
      <c r="E17" s="7" t="inlineStr">
        <is>
          <t>(EBIT_FY24+Depreciation_FY24)/Interest_FY24</t>
        </is>
      </c>
      <c r="F17" s="7" t="inlineStr">
        <is>
          <t>Interest coverage adding back non-cash depreciation.</t>
        </is>
      </c>
    </row>
    <row r="18">
      <c r="A18" t="inlineStr">
        <is>
          <t>Fixed Charge Coverage</t>
        </is>
      </c>
      <c r="B18" s="7" t="inlineStr">
        <is>
          <t>Leverage</t>
        </is>
      </c>
      <c r="C18" s="15" t="inlineStr">
        <is>
          <t>n/a</t>
        </is>
      </c>
      <c r="D18" s="15" t="inlineStr">
        <is>
          <t>n/a</t>
        </is>
      </c>
      <c r="E18" s="7" t="inlineStr">
        <is>
          <t>(EBIT_FY24+LeasePayments_FY24)/(Interest_FY24+LeasePayments_FY24)</t>
        </is>
      </c>
      <c r="F18" s="7" t="inlineStr">
        <is>
          <t>Coverage of interest + lease obligations.</t>
        </is>
      </c>
    </row>
    <row r="19">
      <c r="A19" t="inlineStr">
        <is>
          <t>Equity Multiplier</t>
        </is>
      </c>
      <c r="B19" s="7" t="inlineStr">
        <is>
          <t>Leverage</t>
        </is>
      </c>
      <c r="C19" s="13">
        <f>TotalAssets_FY23/TotalEquity_FY23</f>
        <v/>
      </c>
      <c r="D19" s="13">
        <f>TotalAssets_FY24/TotalEquity_FY24</f>
        <v/>
      </c>
      <c r="E19" s="7" t="inlineStr">
        <is>
          <t>TotalAssets_FY24/TotalEquity_FY24</t>
        </is>
      </c>
      <c r="F19" s="7" t="inlineStr">
        <is>
          <t>Assets per $1 of equity; the leverage factor in DuPont.</t>
        </is>
      </c>
    </row>
    <row r="20">
      <c r="A20" t="inlineStr">
        <is>
          <t>Gross Profit Margin</t>
        </is>
      </c>
      <c r="B20" s="7" t="inlineStr">
        <is>
          <t>Profitability</t>
        </is>
      </c>
      <c r="C20" s="14">
        <f>GrossProfit_FY23/Sales_FY23</f>
        <v/>
      </c>
      <c r="D20" s="14">
        <f>GrossProfit_FY24/Sales_FY24</f>
        <v/>
      </c>
      <c r="E20" s="7" t="inlineStr">
        <is>
          <t>GrossProfit_FY24/Sales_FY24</t>
        </is>
      </c>
      <c r="F20" s="7" t="inlineStr">
        <is>
          <t>Gross profit per $1 of sales.</t>
        </is>
      </c>
    </row>
    <row r="21">
      <c r="A21" t="inlineStr">
        <is>
          <t>Net Profit Margin</t>
        </is>
      </c>
      <c r="B21" s="7" t="inlineStr">
        <is>
          <t>Profitability</t>
        </is>
      </c>
      <c r="C21" s="14">
        <f>NetIncome_FY23/Sales_FY23</f>
        <v/>
      </c>
      <c r="D21" s="14">
        <f>NetIncome_FY24/Sales_FY24</f>
        <v/>
      </c>
      <c r="E21" s="7" t="inlineStr">
        <is>
          <t>NetIncome_FY24/Sales_FY24</t>
        </is>
      </c>
      <c r="F21" s="7" t="inlineStr">
        <is>
          <t>Bottom-line profit per $1 of sales.</t>
        </is>
      </c>
    </row>
    <row r="22">
      <c r="A22" t="inlineStr">
        <is>
          <t>Return on Assets (ROA)</t>
        </is>
      </c>
      <c r="B22" s="7" t="inlineStr">
        <is>
          <t>Profitability</t>
        </is>
      </c>
      <c r="C22" s="14">
        <f>NetIncome_FY23/TotalAssets_FY23</f>
        <v/>
      </c>
      <c r="D22" s="14">
        <f>NetIncome_FY24/TotalAssets_FY24</f>
        <v/>
      </c>
      <c r="E22" s="7" t="inlineStr">
        <is>
          <t>NetIncome_FY24/TotalAssets_FY24</t>
        </is>
      </c>
      <c r="F22" s="7" t="inlineStr">
        <is>
          <t>Net income per $1 of assets.</t>
        </is>
      </c>
    </row>
    <row r="23">
      <c r="A23" t="inlineStr">
        <is>
          <t>Return on Equity (ROE)</t>
        </is>
      </c>
      <c r="B23" s="7" t="inlineStr">
        <is>
          <t>Profitability</t>
        </is>
      </c>
      <c r="C23" s="14">
        <f>NetIncome_FY23/TotalEquity_FY23</f>
        <v/>
      </c>
      <c r="D23" s="14">
        <f>NetIncome_FY24/TotalEquity_FY24</f>
        <v/>
      </c>
      <c r="E23" s="7" t="inlineStr">
        <is>
          <t>NetIncome_FY24/TotalEquity_FY24</t>
        </is>
      </c>
      <c r="F23" s="7" t="inlineStr">
        <is>
          <t>Net income per $1 of equity.</t>
        </is>
      </c>
    </row>
    <row r="24">
      <c r="A24" t="inlineStr">
        <is>
          <t>Earnings per Share (EPS)</t>
        </is>
      </c>
      <c r="B24" s="7" t="inlineStr">
        <is>
          <t>Profitability</t>
        </is>
      </c>
      <c r="C24" s="15" t="inlineStr">
        <is>
          <t>n/a</t>
        </is>
      </c>
      <c r="D24" s="15" t="inlineStr">
        <is>
          <t>n/a</t>
        </is>
      </c>
      <c r="E24" s="7" t="inlineStr">
        <is>
          <t>(NetIncome_FY24)/DilutedShares_FY24</t>
        </is>
      </c>
      <c r="F24" s="7" t="inlineStr">
        <is>
          <t>Earnings attributable to each common share.</t>
        </is>
      </c>
    </row>
    <row r="25">
      <c r="A25" t="inlineStr">
        <is>
          <t>Price/Earnings (P/E)</t>
        </is>
      </c>
      <c r="B25" s="7" t="inlineStr">
        <is>
          <t>Profitability</t>
        </is>
      </c>
      <c r="C25" s="15" t="inlineStr">
        <is>
          <t>n/a</t>
        </is>
      </c>
      <c r="D25" s="15" t="inlineStr">
        <is>
          <t>n/a</t>
        </is>
      </c>
      <c r="E25" s="7" t="inlineStr">
        <is>
          <t>Price/EPS_FY24</t>
        </is>
      </c>
      <c r="F25" s="7" t="inlineStr">
        <is>
          <t>Price paid per $1 of annual earnings.</t>
        </is>
      </c>
    </row>
    <row r="26">
      <c r="A26" t="inlineStr">
        <is>
          <t>Market-to-Book</t>
        </is>
      </c>
      <c r="B26" s="7" t="inlineStr">
        <is>
          <t>Profitability</t>
        </is>
      </c>
      <c r="C26" s="15" t="inlineStr">
        <is>
          <t>n/a</t>
        </is>
      </c>
      <c r="D26" s="15" t="inlineStr">
        <is>
          <t>n/a</t>
        </is>
      </c>
      <c r="E26" s="7" t="inlineStr">
        <is>
          <t>Price/BookValuePS</t>
        </is>
      </c>
      <c r="F26" s="7" t="inlineStr">
        <is>
          <t>Market price relative to accounting book value per share.</t>
        </is>
      </c>
    </row>
    <row r="27">
      <c r="A27" t="inlineStr">
        <is>
          <t>ROE (DuPont 3-step)</t>
        </is>
      </c>
      <c r="B27" s="7" t="inlineStr">
        <is>
          <t>DuPont</t>
        </is>
      </c>
      <c r="C27" s="11">
        <f>(NetIncome_FY23/Sales_FY23)*(Sales_FY23/TotalAssets_FY23)*(TotalAssets_FY23/TotalEquity_FY23)</f>
        <v/>
      </c>
      <c r="D27" s="11">
        <f>(NetIncome_FY24/Sales_FY24)*(Sales_FY24/TotalAssets_FY24)*(TotalAssets_FY24/TotalEquity_FY24)</f>
        <v/>
      </c>
      <c r="E27" s="7" t="inlineStr">
        <is>
          <t>(NetIncome_FY24/Sales_FY24)*(Sales_FY24/TotalAssets_FY24)*(TotalAssets_FY24/TotalEquity_FY24)</t>
        </is>
      </c>
      <c r="F27" s="7" t="inlineStr">
        <is>
          <t>ROE = Net Margin x Asset Turnover x Equity Multiplier.</t>
        </is>
      </c>
    </row>
    <row r="28">
      <c r="A28" t="inlineStr">
        <is>
          <t>ROE (ROA x leverage)</t>
        </is>
      </c>
      <c r="B28" s="7" t="inlineStr">
        <is>
          <t>DuPont</t>
        </is>
      </c>
      <c r="C28" s="11">
        <f>(NetIncome_FY23/TotalAssets_FY23)*(1+TotalLiab_FY23/TotalEquity_FY23)</f>
        <v/>
      </c>
      <c r="D28" s="11">
        <f>(NetIncome_FY24/TotalAssets_FY24)*(1+TotalLiab_FY24/TotalEquity_FY24)</f>
        <v/>
      </c>
      <c r="E28" s="7" t="inlineStr">
        <is>
          <t>(NetIncome_FY24/TotalAssets_FY24)*(1+TotalLiab_FY24/TotalEquity_FY24)</t>
        </is>
      </c>
      <c r="F28" s="7" t="inlineStr">
        <is>
          <t>Cross-check: ROE = ROA x (1 + Total Debt/Equity).</t>
        </is>
      </c>
    </row>
    <row r="30">
      <c r="A30" s="7" t="inlineStr">
        <is>
          <t>Green = healthy, red = weak (vs. generic thresholds; fills reflect loaded data).</t>
        </is>
      </c>
    </row>
    <row r="32">
      <c r="A32" s="7" t="inlineStr">
        <is>
          <t>Educational analysis only -- NOT investment, tax, or legal advice. Consult a licensed advisor before acting. Every figure ties to an input cell or cited SEC filing; missing inputs are excluded, never invented.</t>
        </is>
      </c>
    </row>
  </sheetData>
  <mergeCells count="1">
    <mergeCell ref="A32:F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Valuation -- WACC / DCF / Gordon / Multiples</t>
        </is>
      </c>
    </row>
    <row r="3">
      <c r="A3" s="2" t="inlineStr">
        <is>
          <t>Cost of Capital</t>
        </is>
      </c>
    </row>
    <row r="4">
      <c r="A4" t="inlineStr">
        <is>
          <t>After-tax cost of debt k_d</t>
        </is>
      </c>
      <c r="B4" s="16">
        <f>(1-'Assumptions'!$B$13)*'Assumptions'!$B$18</f>
        <v/>
      </c>
      <c r="C4" s="7" t="inlineStr">
        <is>
          <t>(1 - T) x pre-tax YTM</t>
        </is>
      </c>
    </row>
    <row r="5">
      <c r="A5" t="inlineStr">
        <is>
          <t>Cost of equity k_e (CAPM)</t>
        </is>
      </c>
      <c r="B5" s="16">
        <f>'Assumptions'!$B$9+'Assumptions'!$B$11*('Assumptions'!$B$10-'Assumptions'!$B$9)</f>
        <v/>
      </c>
      <c r="C5" s="7" t="inlineStr">
        <is>
          <t>Rf + beta x (E(Rm) - Rf)</t>
        </is>
      </c>
    </row>
    <row r="6">
      <c r="A6" t="inlineStr">
        <is>
          <t>Cost of preferred k_p</t>
        </is>
      </c>
      <c r="B6" s="16">
        <f>IF('Assumptions'!$B$4=0,0,'Assumptions'!$B$7/('Assumptions'!$B$4*(1-'Assumptions'!$B$14)))</f>
        <v/>
      </c>
      <c r="C6" s="7" t="inlineStr">
        <is>
          <t>D_p / (P_p (1 - f))  [proxy]</t>
        </is>
      </c>
    </row>
    <row r="7">
      <c r="A7" t="inlineStr">
        <is>
          <t>Weight of debt W_d</t>
        </is>
      </c>
      <c r="B7" s="16">
        <f>IF(('Inputs'!$C$31+'Inputs'!$C$35)=0,0,'Inputs'!$C$31/('Inputs'!$C$31+'Inputs'!$C$35))</f>
        <v/>
      </c>
      <c r="C7" s="7" t="inlineStr">
        <is>
          <t>Market/structure weight</t>
        </is>
      </c>
    </row>
    <row r="8">
      <c r="A8" t="inlineStr">
        <is>
          <t>Weight of equity W_e</t>
        </is>
      </c>
      <c r="B8" s="16">
        <f>IF(('Inputs'!$C$31+'Inputs'!$C$35)=0,0,'Inputs'!$C$35/('Inputs'!$C$31+'Inputs'!$C$35))</f>
        <v/>
      </c>
    </row>
    <row r="9">
      <c r="A9" t="inlineStr">
        <is>
          <t>WACC</t>
        </is>
      </c>
      <c r="B9" s="16">
        <f>B7*B4+B8*B5</f>
        <v/>
      </c>
      <c r="C9" s="7" t="inlineStr">
        <is>
          <t>W_d k_d + W_e k_e</t>
        </is>
      </c>
    </row>
    <row r="11">
      <c r="A11" s="2" t="inlineStr">
        <is>
          <t>Discounted Cash Flow (illustrative)</t>
        </is>
      </c>
    </row>
    <row r="12">
      <c r="A12" t="inlineStr">
        <is>
          <t>Base free cash flow (CFO - CapEx)</t>
        </is>
      </c>
      <c r="B12" s="17">
        <f>'Inputs'!$C$38-'Inputs'!$C$43</f>
        <v/>
      </c>
      <c r="C12" s="7" t="inlineStr">
        <is>
          <t>From latest cash-flow statement</t>
        </is>
      </c>
    </row>
    <row r="13">
      <c r="A13" t="inlineStr">
        <is>
          <t>Projection growth g (Assumptions)</t>
        </is>
      </c>
      <c r="B13" s="18">
        <f>'Assumptions'!$B$8</f>
        <v/>
      </c>
    </row>
    <row r="14">
      <c r="A14" t="inlineStr">
        <is>
          <t>Year</t>
        </is>
      </c>
      <c r="B14" s="6" t="n">
        <v>1</v>
      </c>
      <c r="C14" s="6" t="n">
        <v>2</v>
      </c>
      <c r="D14" s="6" t="n">
        <v>3</v>
      </c>
      <c r="E14" s="6" t="n">
        <v>4</v>
      </c>
      <c r="F14" s="6" t="n">
        <v>5</v>
      </c>
      <c r="G14" s="6" t="inlineStr">
        <is>
          <t>Terminal</t>
        </is>
      </c>
    </row>
    <row r="15">
      <c r="A15" t="inlineStr">
        <is>
          <t>Projected FCF</t>
        </is>
      </c>
      <c r="B15" s="17">
        <f>B12*(1+B13)</f>
        <v/>
      </c>
      <c r="C15" s="17">
        <f>B15*(1+B13)</f>
        <v/>
      </c>
      <c r="D15" s="17">
        <f>C15*(1+B13)</f>
        <v/>
      </c>
      <c r="E15" s="17">
        <f>D15*(1+B13)</f>
        <v/>
      </c>
      <c r="F15" s="17">
        <f>E15*(1+B13)</f>
        <v/>
      </c>
      <c r="G15" s="17">
        <f>IF((B9-B13)&lt;=0,0,F15*(1+B13)/(B9-B13))</f>
        <v/>
      </c>
    </row>
    <row r="16">
      <c r="A16" t="inlineStr">
        <is>
          <t>PV of explicit FCF (yrs 1-5)</t>
        </is>
      </c>
      <c r="B16" s="17">
        <f>NPV(B9,C15:F15)</f>
        <v/>
      </c>
    </row>
    <row r="17">
      <c r="A17" t="inlineStr">
        <is>
          <t>PV of terminal value</t>
        </is>
      </c>
      <c r="B17" s="17">
        <f>G15/((1+B9)^5)</f>
        <v/>
      </c>
    </row>
    <row r="18">
      <c r="A18" s="6" t="inlineStr">
        <is>
          <t>Enterprise value (DCF)</t>
        </is>
      </c>
      <c r="B18" s="17">
        <f>B16+B17</f>
        <v/>
      </c>
    </row>
    <row r="19">
      <c r="A19" t="inlineStr">
        <is>
          <t>Intrinsic value per share (EV/shares)</t>
        </is>
      </c>
      <c r="B19" s="19">
        <f>IF('Assumptions'!$B$5=0,0,B18/'Assumptions'!$B$5)</f>
        <v/>
      </c>
    </row>
    <row r="20">
      <c r="A20" t="inlineStr">
        <is>
          <t>Market price per share</t>
        </is>
      </c>
      <c r="B20" s="19">
        <f>'Assumptions'!$B$4</f>
        <v/>
      </c>
    </row>
    <row r="21">
      <c r="A21" s="6" t="inlineStr">
        <is>
          <t>Upside / (downside) vs market</t>
        </is>
      </c>
      <c r="B21" s="20">
        <f>IF('Assumptions'!$B$4=0,0,B19/'Assumptions'!$B$4-1)</f>
        <v/>
      </c>
    </row>
    <row r="23">
      <c r="A23" s="2" t="inlineStr">
        <is>
          <t>Cross-checks</t>
        </is>
      </c>
    </row>
    <row r="24">
      <c r="A24" t="inlineStr">
        <is>
          <t>Gordon-growth value = D0(1+g)/(k_e - g)</t>
        </is>
      </c>
      <c r="B24" s="19">
        <f>IF((B5-B13)&lt;=0,0,'Assumptions'!$B$7*(1+B13)/(B5-B13))</f>
        <v/>
      </c>
    </row>
    <row r="26">
      <c r="A26" s="7" t="inlineStr">
        <is>
          <t>Educational analysis only -- NOT investment, tax, or legal advice. Consult a licensed advisor before acting. Every figure ties to an input cell or cited SEC filing; missing inputs are excluded, never invented.</t>
        </is>
      </c>
    </row>
  </sheetData>
  <mergeCells count="1">
    <mergeCell ref="A26:G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Capital Budgeting -- editable project (sec 4.7)</t>
        </is>
      </c>
    </row>
    <row r="2">
      <c r="A2" s="7" t="inlineStr">
        <is>
          <t>Edit the cash flows; NPV / IRR / PI / payback recalc live.</t>
        </is>
      </c>
    </row>
    <row r="4">
      <c r="A4" t="inlineStr">
        <is>
          <t>Required return k (uses WACC if set)</t>
        </is>
      </c>
      <c r="B4" s="18">
        <f>IF(Valuation!B9&gt;0,Valuation!B9,Assumptions!$B$12)</f>
        <v/>
      </c>
    </row>
    <row r="6">
      <c r="A6" t="inlineStr">
        <is>
          <t>Year</t>
        </is>
      </c>
      <c r="B6" s="3" t="n">
        <v>0</v>
      </c>
      <c r="C6" s="3" t="n">
        <v>1</v>
      </c>
      <c r="D6" s="3" t="n">
        <v>2</v>
      </c>
      <c r="E6" s="3" t="n">
        <v>3</v>
      </c>
      <c r="F6" s="3" t="n">
        <v>4</v>
      </c>
      <c r="G6" s="3" t="n">
        <v>5</v>
      </c>
    </row>
    <row r="7">
      <c r="A7" s="6" t="inlineStr">
        <is>
          <t>Net cash flow (NCF)</t>
        </is>
      </c>
      <c r="B7" s="21" t="n">
        <v>-100000</v>
      </c>
      <c r="C7" s="21" t="n">
        <v>30000</v>
      </c>
      <c r="D7" s="21" t="n">
        <v>35000</v>
      </c>
      <c r="E7" s="21" t="n">
        <v>40000</v>
      </c>
      <c r="F7" s="21" t="n">
        <v>30000</v>
      </c>
      <c r="G7" s="21" t="n">
        <v>25000</v>
      </c>
    </row>
    <row r="8">
      <c r="A8" t="inlineStr">
        <is>
          <t>Cumulative cash flow</t>
        </is>
      </c>
      <c r="B8" s="17">
        <f>B7</f>
        <v/>
      </c>
      <c r="C8" s="17">
        <f>B8+C7</f>
        <v/>
      </c>
      <c r="D8" s="17">
        <f>C8+D7</f>
        <v/>
      </c>
      <c r="E8" s="17">
        <f>D8+E7</f>
        <v/>
      </c>
      <c r="F8" s="17">
        <f>E8+F7</f>
        <v/>
      </c>
      <c r="G8" s="17">
        <f>F8+G7</f>
        <v/>
      </c>
    </row>
    <row r="10">
      <c r="A10" t="inlineStr">
        <is>
          <t>NPV</t>
        </is>
      </c>
      <c r="B10" s="22">
        <f>B7+NPV(B4,C7:G7)</f>
        <v/>
      </c>
      <c r="D10" s="7">
        <f> -outlay + PV(future NCF)</f>
        <v/>
      </c>
    </row>
    <row r="11">
      <c r="A11" t="inlineStr">
        <is>
          <t>IRR</t>
        </is>
      </c>
      <c r="B11" s="23">
        <f>IRR(B7:G7)</f>
        <v/>
      </c>
    </row>
    <row r="12">
      <c r="A12" t="inlineStr">
        <is>
          <t>Profitability Index (PI)</t>
        </is>
      </c>
      <c r="B12" s="24">
        <f>IF(B7=0,0,NPV(B4,C7:G7)/-B7)</f>
        <v/>
      </c>
      <c r="D12" s="7" t="inlineStr">
        <is>
          <t>PV future / initial outlay</t>
        </is>
      </c>
    </row>
    <row r="13">
      <c r="A13" t="inlineStr">
        <is>
          <t>Payback (yrs, approx)</t>
        </is>
      </c>
      <c r="B13" s="25">
        <f>MATCH(TRUE,INDEX(C8:G8&gt;=0,0),0)</f>
        <v/>
      </c>
      <c r="D13" s="7" t="inlineStr">
        <is>
          <t>First year cumulative &gt;= 0</t>
        </is>
      </c>
    </row>
    <row r="14">
      <c r="A14" t="inlineStr">
        <is>
          <t>Accounting Rate of Return (ARR)</t>
        </is>
      </c>
      <c r="B14" s="23">
        <f>AVERAGE(C7:G7)/(-B7/2)</f>
        <v/>
      </c>
      <c r="D14" s="7" t="inlineStr">
        <is>
          <t>avg income / avg book value</t>
        </is>
      </c>
    </row>
    <row r="16">
      <c r="A16" s="2" t="inlineStr">
        <is>
          <t>Decision rules</t>
        </is>
      </c>
    </row>
    <row r="17">
      <c r="A17" t="inlineStr">
        <is>
          <t>NPV rule (&gt;0 accept)</t>
        </is>
      </c>
      <c r="B17">
        <f>IF(B10&gt;0,"ACCEPT","REJECT")</f>
        <v/>
      </c>
    </row>
    <row r="18">
      <c r="A18" t="inlineStr">
        <is>
          <t>IRR rule (&gt;k accept)</t>
        </is>
      </c>
      <c r="B18">
        <f>IF(B11&gt;B4,"ACCEPT","REJECT")</f>
        <v/>
      </c>
    </row>
    <row r="19">
      <c r="A19" t="inlineStr">
        <is>
          <t>PI rule (&gt;1 accept)</t>
        </is>
      </c>
      <c r="B19">
        <f>IF(B12&gt;1,"ACCEPT","REJECT")</f>
        <v/>
      </c>
    </row>
    <row r="21">
      <c r="A21" s="6" t="inlineStr">
        <is>
          <t>NPV profile (for chart)</t>
        </is>
      </c>
    </row>
    <row r="22">
      <c r="A22" t="inlineStr">
        <is>
          <t>Discount rate</t>
        </is>
      </c>
      <c r="B22" t="inlineStr">
        <is>
          <t>NPV</t>
        </is>
      </c>
    </row>
    <row r="23">
      <c r="A23" s="26" t="n">
        <v>0</v>
      </c>
      <c r="B23" s="17">
        <f>B7+NPV(A23,C7:G7)</f>
        <v/>
      </c>
    </row>
    <row r="24">
      <c r="A24" s="26" t="n">
        <v>0.05</v>
      </c>
      <c r="B24" s="17">
        <f>B7+NPV(A24,C7:G7)</f>
        <v/>
      </c>
    </row>
    <row r="25">
      <c r="A25" s="26" t="n">
        <v>0.1</v>
      </c>
      <c r="B25" s="17">
        <f>B7+NPV(A25,C7:G7)</f>
        <v/>
      </c>
    </row>
    <row r="26">
      <c r="A26" s="26" t="n">
        <v>0.15</v>
      </c>
      <c r="B26" s="17">
        <f>B7+NPV(A26,C7:G7)</f>
        <v/>
      </c>
    </row>
    <row r="27">
      <c r="A27" s="26" t="n">
        <v>0.2</v>
      </c>
      <c r="B27" s="17">
        <f>B7+NPV(A27,C7:G7)</f>
        <v/>
      </c>
    </row>
    <row r="28">
      <c r="A28" s="26" t="n">
        <v>0.25</v>
      </c>
      <c r="B28" s="17">
        <f>B7+NPV(A28,C7:G7)</f>
        <v/>
      </c>
    </row>
    <row r="29">
      <c r="A29" s="26" t="n">
        <v>0.3</v>
      </c>
      <c r="B29" s="17">
        <f>B7+NPV(A29,C7:G7)</f>
        <v/>
      </c>
    </row>
    <row r="31">
      <c r="A31" s="7" t="inlineStr">
        <is>
          <t>Educational analysis only -- NOT investment, tax, or legal advice. Consult a licensed advisor before acting. Every figure ties to an input cell or cited SEC filing; missing inputs are excluded, never invented.</t>
        </is>
      </c>
    </row>
  </sheetData>
  <mergeCells count="1">
    <mergeCell ref="A31:G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Charts</t>
        </is>
      </c>
    </row>
    <row r="22">
      <c r="A22" t="inlineStr">
        <is>
          <t>Intrinsic vs Market (per share)</t>
        </is>
      </c>
    </row>
    <row r="23">
      <c r="A23" t="inlineStr">
        <is>
          <t>Intrinsic</t>
        </is>
      </c>
      <c r="B23" s="19">
        <f>Valuation!B19</f>
        <v/>
      </c>
    </row>
    <row r="24">
      <c r="A24" t="inlineStr">
        <is>
          <t>Market</t>
        </is>
      </c>
      <c r="B24" s="19">
        <f>Assumptions!$B$4</f>
        <v/>
      </c>
    </row>
    <row r="60">
      <c r="A60" s="7" t="inlineStr">
        <is>
          <t>Educational analysis only -- NOT investment, tax, or legal advice. Consult a licensed advisor before acting. Every figure ties to an input cell or cited SEC filing; missing inputs are excluded, never invented.</t>
        </is>
      </c>
    </row>
  </sheetData>
  <mergeCells count="1">
    <mergeCell ref="A60:F6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2026-06-26T18:16:24Z</dcterms:created>
  <dcterms:modified xsi:type="dcterms:W3CDTF">2026-06-26T18:16:24Z</dcterms:modified>
</cp:coreProperties>
</file>